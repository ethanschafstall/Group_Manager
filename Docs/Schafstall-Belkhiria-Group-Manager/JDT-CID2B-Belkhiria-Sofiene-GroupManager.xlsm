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ofbelkhiri\Documents\GitHub\Group_Manager\Docs\JNLTRAV\"/>
    </mc:Choice>
  </mc:AlternateContent>
  <bookViews>
    <workbookView xWindow="0" yWindow="0" windowWidth="28800" windowHeight="12300" activeTab="7"/>
  </bookViews>
  <sheets>
    <sheet name="Donnees" sheetId="7" r:id="rId1"/>
    <sheet name="Diagramme" sheetId="18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82" r:id="rId7"/>
    <sheet name="JNLTRAV" sheetId="184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62" i="184" l="1"/>
  <c r="D343" i="184"/>
  <c r="D324" i="184"/>
  <c r="D305" i="184"/>
  <c r="D286" i="184"/>
  <c r="D267" i="184"/>
  <c r="D248" i="184"/>
  <c r="D229" i="184"/>
  <c r="D210" i="184"/>
  <c r="D191" i="184"/>
  <c r="D172" i="184"/>
  <c r="D153" i="184"/>
  <c r="D134" i="184"/>
  <c r="D115" i="184"/>
  <c r="D96" i="184"/>
  <c r="D77" i="184"/>
  <c r="D58" i="184"/>
  <c r="D39" i="184"/>
  <c r="D20" i="184"/>
  <c r="D1" i="184"/>
  <c r="B379" i="184"/>
  <c r="B360" i="184"/>
  <c r="B341" i="184"/>
  <c r="B322" i="184"/>
  <c r="B303" i="184"/>
  <c r="B284" i="184"/>
  <c r="B265" i="184"/>
  <c r="B246" i="184"/>
  <c r="B227" i="184"/>
  <c r="B208" i="184"/>
  <c r="B189" i="184"/>
  <c r="B170" i="184"/>
  <c r="B151" i="184"/>
  <c r="B132" i="184"/>
  <c r="B113" i="184"/>
  <c r="B94" i="184"/>
  <c r="B75" i="184"/>
  <c r="B56" i="184"/>
  <c r="B37" i="184"/>
  <c r="B18" i="184"/>
  <c r="B279" i="182"/>
  <c r="B265" i="182"/>
  <c r="B251" i="182"/>
  <c r="B237" i="182"/>
  <c r="B223" i="182"/>
  <c r="B209" i="182"/>
  <c r="B195" i="182"/>
  <c r="B181" i="182"/>
  <c r="B167" i="182"/>
  <c r="B153" i="182"/>
  <c r="B139" i="182"/>
  <c r="B125" i="182"/>
  <c r="B111" i="182"/>
  <c r="B97" i="182"/>
  <c r="B83" i="182"/>
  <c r="B69" i="182"/>
  <c r="B55" i="182"/>
  <c r="B41" i="182"/>
  <c r="B27" i="182"/>
  <c r="B13" i="182"/>
  <c r="B19" i="181"/>
  <c r="B17" i="181"/>
  <c r="B15" i="181"/>
  <c r="B13" i="181"/>
  <c r="B11" i="181"/>
  <c r="B9" i="181"/>
  <c r="B7" i="181"/>
  <c r="B5" i="181"/>
  <c r="C22" i="181"/>
  <c r="C21" i="181"/>
  <c r="B18" i="154" l="1"/>
  <c r="B13" i="11" l="1"/>
</calcChain>
</file>

<file path=xl/sharedStrings.xml><?xml version="1.0" encoding="utf-8"?>
<sst xmlns="http://schemas.openxmlformats.org/spreadsheetml/2006/main" count="378" uniqueCount="63">
  <si>
    <t>Semestre</t>
  </si>
  <si>
    <t>Prénom - nom :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</si>
  <si>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</si>
  <si>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</si>
  <si>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</si>
  <si>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</si>
  <si>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</si>
  <si>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</si>
  <si>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</si>
  <si>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</si>
  <si>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</si>
  <si>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</si>
  <si>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</si>
  <si>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</si>
  <si>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Absence</t>
  </si>
  <si>
    <t>Autre</t>
  </si>
  <si>
    <t>Tâches - objectifs</t>
  </si>
  <si>
    <t>Nb 1/4 heure</t>
  </si>
  <si>
    <t>S 1</t>
  </si>
  <si>
    <t>S 2</t>
  </si>
  <si>
    <t>S 3</t>
  </si>
  <si>
    <t>S 4</t>
  </si>
  <si>
    <t>S 5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</si>
  <si>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</si>
  <si>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</si>
  <si>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</si>
  <si>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</si>
  <si>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</si>
  <si>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</si>
  <si>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</si>
  <si>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</si>
  <si>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</si>
  <si>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</si>
  <si>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</si>
  <si>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 xml:space="preserve">Analyser le site Web </t>
  </si>
  <si>
    <t>S 6</t>
  </si>
  <si>
    <t>S 7</t>
  </si>
  <si>
    <t>S 8</t>
  </si>
  <si>
    <t>Max. 9</t>
  </si>
  <si>
    <t>Sofiène Belkhiria</t>
  </si>
  <si>
    <t xml:space="preserve">Sébeillon /1004 Lausanne </t>
  </si>
  <si>
    <t>CID2B</t>
  </si>
  <si>
    <t>Dévloppement Java Script</t>
  </si>
  <si>
    <t>Dévloppement HTML</t>
  </si>
  <si>
    <t>Dévloppement CSS</t>
  </si>
  <si>
    <t>Création architecture</t>
  </si>
  <si>
    <t>??????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</si>
  <si>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</si>
  <si>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</si>
  <si>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</si>
  <si>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</si>
  <si>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</si>
  <si>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</si>
  <si>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</si>
  <si>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</si>
  <si>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</si>
  <si>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</si>
  <si>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</si>
  <si>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S 20</t>
  </si>
  <si>
    <t>Cration des fichier JS, git, JnlTrav</t>
  </si>
  <si>
    <t>Ajout des fonction de création de groupe</t>
  </si>
  <si>
    <t>fin création groupe normal. + début cration groupe complexe</t>
  </si>
  <si>
    <t>ajout des id dans la création de groupe complexe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</si>
</sst>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1681" name="btnImportPlanification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4753" name="btnImportRealisation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39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41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4</v>
      </c>
      <c r="C9" s="67">
        <v>45243</v>
      </c>
      <c r="D9" s="59"/>
      <c r="E9" s="59"/>
      <c r="F9" s="59"/>
      <c r="G9" s="60"/>
    </row>
    <row r="10" spans="1:7" ht="20.25" x14ac:dyDescent="0.25">
      <c r="A10" s="58"/>
      <c r="B10" s="68" t="s">
        <v>5</v>
      </c>
      <c r="C10" s="69" t="s">
        <v>46</v>
      </c>
      <c r="D10" s="59"/>
      <c r="E10" s="59"/>
      <c r="F10" s="59"/>
      <c r="G10" s="60"/>
    </row>
    <row r="11" spans="1:7" ht="20.25" x14ac:dyDescent="0.25">
      <c r="A11" s="58"/>
      <c r="B11" s="68" t="s">
        <v>6</v>
      </c>
      <c r="C11" s="70">
        <v>20</v>
      </c>
      <c r="D11" s="59"/>
      <c r="E11" s="59"/>
      <c r="F11" s="59"/>
      <c r="G11" s="60"/>
    </row>
    <row r="12" spans="1:7" ht="20.25" x14ac:dyDescent="0.25">
      <c r="A12" s="58"/>
      <c r="B12" s="63" t="s">
        <v>7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8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9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10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11</v>
      </c>
      <c r="C20" s="80" t="s">
        <v>12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42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43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15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45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A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83" ht="14.25" thickBot="1" x14ac:dyDescent="0.3">
      <c r="B1" s="90"/>
      <c r="C1" s="90"/>
    </row>
    <row r="2" spans="1:183" ht="42.75" customHeight="1" thickBot="1" x14ac:dyDescent="0.3">
      <c r="A2" s="91"/>
      <c r="B2" s="92" t="s">
        <v>16</v>
      </c>
      <c r="C2" s="93" t="s">
        <v>17</v>
      </c>
      <c r="D2" s="123" t="s">
        <v>18</v>
      </c>
      <c r="E2" s="124"/>
      <c r="F2" s="124"/>
      <c r="G2" s="124"/>
      <c r="H2" s="124"/>
      <c r="I2" s="124"/>
      <c r="J2" s="124"/>
      <c r="K2" s="124"/>
      <c r="L2" s="125"/>
      <c r="M2" s="123" t="s">
        <v>19</v>
      </c>
      <c r="N2" s="124"/>
      <c r="O2" s="124"/>
      <c r="P2" s="124"/>
      <c r="Q2" s="124"/>
      <c r="R2" s="124"/>
      <c r="S2" s="124"/>
      <c r="T2" s="124"/>
      <c r="U2" s="125"/>
      <c r="V2" s="123" t="s">
        <v>20</v>
      </c>
      <c r="W2" s="124"/>
      <c r="X2" s="124"/>
      <c r="Y2" s="124"/>
      <c r="Z2" s="124"/>
      <c r="AA2" s="124"/>
      <c r="AB2" s="124"/>
      <c r="AC2" s="124"/>
      <c r="AD2" s="125"/>
      <c r="AE2" s="123" t="s">
        <v>21</v>
      </c>
      <c r="AF2" s="124"/>
      <c r="AG2" s="124"/>
      <c r="AH2" s="124"/>
      <c r="AI2" s="124"/>
      <c r="AJ2" s="124"/>
      <c r="AK2" s="124"/>
      <c r="AL2" s="124"/>
      <c r="AM2" s="125"/>
      <c r="AN2" s="123" t="s">
        <v>22</v>
      </c>
      <c r="AO2" s="124"/>
      <c r="AP2" s="124"/>
      <c r="AQ2" s="124"/>
      <c r="AR2" s="124"/>
      <c r="AS2" s="124"/>
      <c r="AT2" s="124"/>
      <c r="AU2" s="124"/>
      <c r="AV2" s="125"/>
      <c r="AW2" s="123" t="s">
        <v>35</v>
      </c>
      <c r="AX2" s="124"/>
      <c r="AY2" s="124"/>
      <c r="AZ2" s="124"/>
      <c r="BA2" s="124"/>
      <c r="BB2" s="124"/>
      <c r="BC2" s="124"/>
      <c r="BD2" s="124"/>
      <c r="BE2" s="125"/>
      <c r="BF2" s="123" t="s">
        <v>36</v>
      </c>
      <c r="BG2" s="124"/>
      <c r="BH2" s="124"/>
      <c r="BI2" s="124"/>
      <c r="BJ2" s="124"/>
      <c r="BK2" s="124"/>
      <c r="BL2" s="124"/>
      <c r="BM2" s="124"/>
      <c r="BN2" s="125"/>
      <c r="BO2" s="123" t="s">
        <v>37</v>
      </c>
      <c r="BP2" s="124"/>
      <c r="BQ2" s="124"/>
      <c r="BR2" s="124"/>
      <c r="BS2" s="124"/>
      <c r="BT2" s="124"/>
      <c r="BU2" s="124"/>
      <c r="BV2" s="124"/>
      <c r="BW2" s="125"/>
      <c r="BX2" s="123" t="s">
        <v>47</v>
      </c>
      <c r="BY2" s="124"/>
      <c r="BZ2" s="124"/>
      <c r="CA2" s="124"/>
      <c r="CB2" s="124"/>
      <c r="CC2" s="124"/>
      <c r="CD2" s="124"/>
      <c r="CE2" s="124"/>
      <c r="CF2" s="125"/>
      <c r="CG2" s="123" t="s">
        <v>48</v>
      </c>
      <c r="CH2" s="124"/>
      <c r="CI2" s="124"/>
      <c r="CJ2" s="124"/>
      <c r="CK2" s="124"/>
      <c r="CL2" s="124"/>
      <c r="CM2" s="124"/>
      <c r="CN2" s="124"/>
      <c r="CO2" s="125"/>
      <c r="CP2" s="123" t="s">
        <v>49</v>
      </c>
      <c r="CQ2" s="124"/>
      <c r="CR2" s="124"/>
      <c r="CS2" s="124"/>
      <c r="CT2" s="124"/>
      <c r="CU2" s="124"/>
      <c r="CV2" s="124"/>
      <c r="CW2" s="124"/>
      <c r="CX2" s="125"/>
      <c r="CY2" s="123" t="s">
        <v>50</v>
      </c>
      <c r="CZ2" s="124"/>
      <c r="DA2" s="124"/>
      <c r="DB2" s="124"/>
      <c r="DC2" s="124"/>
      <c r="DD2" s="124"/>
      <c r="DE2" s="124"/>
      <c r="DF2" s="124"/>
      <c r="DG2" s="125"/>
      <c r="DH2" s="123" t="s">
        <v>51</v>
      </c>
      <c r="DI2" s="124"/>
      <c r="DJ2" s="124"/>
      <c r="DK2" s="124"/>
      <c r="DL2" s="124"/>
      <c r="DM2" s="124"/>
      <c r="DN2" s="124"/>
      <c r="DO2" s="124"/>
      <c r="DP2" s="125"/>
      <c r="DQ2" s="123" t="s">
        <v>52</v>
      </c>
      <c r="DR2" s="124"/>
      <c r="DS2" s="124"/>
      <c r="DT2" s="124"/>
      <c r="DU2" s="124"/>
      <c r="DV2" s="124"/>
      <c r="DW2" s="124"/>
      <c r="DX2" s="124"/>
      <c r="DY2" s="125"/>
      <c r="DZ2" s="123" t="s">
        <v>53</v>
      </c>
      <c r="EA2" s="124"/>
      <c r="EB2" s="124"/>
      <c r="EC2" s="124"/>
      <c r="ED2" s="124"/>
      <c r="EE2" s="124"/>
      <c r="EF2" s="124"/>
      <c r="EG2" s="124"/>
      <c r="EH2" s="125"/>
      <c r="EI2" s="123" t="s">
        <v>54</v>
      </c>
      <c r="EJ2" s="124"/>
      <c r="EK2" s="124"/>
      <c r="EL2" s="124"/>
      <c r="EM2" s="124"/>
      <c r="EN2" s="124"/>
      <c r="EO2" s="124"/>
      <c r="EP2" s="124"/>
      <c r="EQ2" s="125"/>
      <c r="ER2" s="123" t="s">
        <v>55</v>
      </c>
      <c r="ES2" s="124"/>
      <c r="ET2" s="124"/>
      <c r="EU2" s="124"/>
      <c r="EV2" s="124"/>
      <c r="EW2" s="124"/>
      <c r="EX2" s="124"/>
      <c r="EY2" s="124"/>
      <c r="EZ2" s="125"/>
      <c r="FA2" s="123" t="s">
        <v>56</v>
      </c>
      <c r="FB2" s="124"/>
      <c r="FC2" s="124"/>
      <c r="FD2" s="124"/>
      <c r="FE2" s="124"/>
      <c r="FF2" s="124"/>
      <c r="FG2" s="124"/>
      <c r="FH2" s="124"/>
      <c r="FI2" s="125"/>
      <c r="FJ2" s="123" t="s">
        <v>57</v>
      </c>
      <c r="FK2" s="124"/>
      <c r="FL2" s="124"/>
      <c r="FM2" s="124"/>
      <c r="FN2" s="124"/>
      <c r="FO2" s="124"/>
      <c r="FP2" s="124"/>
      <c r="FQ2" s="124"/>
      <c r="FR2" s="125"/>
      <c r="FS2" s="123" t="s">
        <v>58</v>
      </c>
      <c r="FT2" s="124"/>
      <c r="FU2" s="124"/>
      <c r="FV2" s="124"/>
      <c r="FW2" s="124"/>
      <c r="FX2" s="124"/>
      <c r="FY2" s="124"/>
      <c r="FZ2" s="124"/>
      <c r="GA2" s="125"/>
    </row>
    <row r="3" spans="1:183" ht="19.5" customHeight="1" x14ac:dyDescent="0.25">
      <c r="A3" s="91"/>
      <c r="B3" s="128" t="s">
        <v>23</v>
      </c>
      <c r="C3" s="94">
        <v>0</v>
      </c>
      <c r="D3" s="95"/>
      <c r="E3" s="96"/>
      <c r="F3" s="97"/>
      <c r="G3" s="98"/>
      <c r="H3" s="96"/>
      <c r="I3" s="97"/>
      <c r="J3" s="98"/>
      <c r="K3" s="96"/>
      <c r="L3" s="99"/>
      <c r="M3" s="95"/>
      <c r="N3" s="96"/>
      <c r="O3" s="97"/>
      <c r="P3" s="98"/>
      <c r="Q3" s="96"/>
      <c r="R3" s="97"/>
      <c r="S3" s="98"/>
      <c r="T3" s="96"/>
      <c r="U3" s="99"/>
      <c r="V3" s="95"/>
      <c r="W3" s="96"/>
      <c r="X3" s="97"/>
      <c r="Y3" s="98"/>
      <c r="Z3" s="96"/>
      <c r="AA3" s="97"/>
      <c r="AB3" s="98"/>
      <c r="AC3" s="96"/>
      <c r="AD3" s="99"/>
      <c r="AE3" s="95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9"/>
      <c r="AW3" s="95"/>
      <c r="AX3" s="96"/>
      <c r="AY3" s="97"/>
      <c r="AZ3" s="98"/>
      <c r="BA3" s="96"/>
      <c r="BB3" s="97"/>
      <c r="BC3" s="98"/>
      <c r="BD3" s="96"/>
      <c r="BE3" s="99"/>
      <c r="BF3" s="95"/>
      <c r="BG3" s="96"/>
      <c r="BH3" s="97"/>
      <c r="BI3" s="98"/>
      <c r="BJ3" s="96"/>
      <c r="BK3" s="97"/>
      <c r="BL3" s="98"/>
      <c r="BM3" s="96"/>
      <c r="BN3" s="99"/>
      <c r="BO3" s="95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9"/>
      <c r="CG3" s="95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9"/>
      <c r="CY3" s="95"/>
      <c r="CZ3" s="96"/>
      <c r="DA3" s="97"/>
      <c r="DB3" s="98"/>
      <c r="DC3" s="96"/>
      <c r="DD3" s="97"/>
      <c r="DE3" s="98"/>
      <c r="DF3" s="96"/>
      <c r="DG3" s="99"/>
      <c r="DH3" s="95"/>
      <c r="DI3" s="96"/>
      <c r="DJ3" s="97"/>
      <c r="DK3" s="98"/>
      <c r="DL3" s="96"/>
      <c r="DM3" s="97"/>
      <c r="DN3" s="98"/>
      <c r="DO3" s="96"/>
      <c r="DP3" s="99"/>
      <c r="DQ3" s="95"/>
      <c r="DR3" s="96"/>
      <c r="DS3" s="97"/>
      <c r="DT3" s="98"/>
      <c r="DU3" s="96"/>
      <c r="DV3" s="97"/>
      <c r="DW3" s="98"/>
      <c r="DX3" s="96"/>
      <c r="DY3" s="99"/>
      <c r="DZ3" s="95"/>
      <c r="EA3" s="96"/>
      <c r="EB3" s="97"/>
      <c r="EC3" s="98"/>
      <c r="ED3" s="96"/>
      <c r="EE3" s="97"/>
      <c r="EF3" s="98"/>
      <c r="EG3" s="96"/>
      <c r="EH3" s="99"/>
      <c r="EI3" s="95"/>
      <c r="EJ3" s="96"/>
      <c r="EK3" s="97"/>
      <c r="EL3" s="98"/>
      <c r="EM3" s="96"/>
      <c r="EN3" s="97"/>
      <c r="EO3" s="98"/>
      <c r="EP3" s="96"/>
      <c r="EQ3" s="99"/>
      <c r="ER3" s="95"/>
      <c r="ES3" s="96"/>
      <c r="ET3" s="97"/>
      <c r="EU3" s="98"/>
      <c r="EV3" s="96"/>
      <c r="EW3" s="97"/>
      <c r="EX3" s="98"/>
      <c r="EY3" s="96"/>
      <c r="EZ3" s="99"/>
      <c r="FA3" s="95"/>
      <c r="FB3" s="96"/>
      <c r="FC3" s="97"/>
      <c r="FD3" s="98"/>
      <c r="FE3" s="96"/>
      <c r="FF3" s="97"/>
      <c r="FG3" s="98"/>
      <c r="FH3" s="96"/>
      <c r="FI3" s="99"/>
      <c r="FJ3" s="95"/>
      <c r="FK3" s="96"/>
      <c r="FL3" s="97"/>
      <c r="FM3" s="98"/>
      <c r="FN3" s="96"/>
      <c r="FO3" s="97"/>
      <c r="FP3" s="98"/>
      <c r="FQ3" s="96"/>
      <c r="FR3" s="99"/>
      <c r="FS3" s="95"/>
      <c r="FT3" s="96"/>
      <c r="FU3" s="97"/>
      <c r="FV3" s="98"/>
      <c r="FW3" s="96"/>
      <c r="FX3" s="97"/>
      <c r="FY3" s="98"/>
      <c r="FZ3" s="96"/>
      <c r="GA3" s="99"/>
    </row>
    <row r="4" spans="1:183" ht="19.5" customHeight="1" thickBot="1" x14ac:dyDescent="0.3">
      <c r="A4" s="91"/>
      <c r="B4" s="129"/>
      <c r="C4" s="100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  <c r="BX4" s="101"/>
      <c r="BY4" s="102"/>
      <c r="BZ4" s="103"/>
      <c r="CA4" s="104"/>
      <c r="CB4" s="102"/>
      <c r="CC4" s="103"/>
      <c r="CD4" s="104"/>
      <c r="CE4" s="102"/>
      <c r="CF4" s="105"/>
      <c r="CG4" s="101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5"/>
      <c r="CY4" s="101"/>
      <c r="CZ4" s="102"/>
      <c r="DA4" s="103"/>
      <c r="DB4" s="104"/>
      <c r="DC4" s="102"/>
      <c r="DD4" s="103"/>
      <c r="DE4" s="104"/>
      <c r="DF4" s="102"/>
      <c r="DG4" s="105"/>
      <c r="DH4" s="101"/>
      <c r="DI4" s="102"/>
      <c r="DJ4" s="103"/>
      <c r="DK4" s="104"/>
      <c r="DL4" s="102"/>
      <c r="DM4" s="103"/>
      <c r="DN4" s="104"/>
      <c r="DO4" s="102"/>
      <c r="DP4" s="105"/>
      <c r="DQ4" s="101"/>
      <c r="DR4" s="102"/>
      <c r="DS4" s="103"/>
      <c r="DT4" s="104"/>
      <c r="DU4" s="102"/>
      <c r="DV4" s="103"/>
      <c r="DW4" s="104"/>
      <c r="DX4" s="102"/>
      <c r="DY4" s="105"/>
      <c r="DZ4" s="101"/>
      <c r="EA4" s="102"/>
      <c r="EB4" s="103"/>
      <c r="EC4" s="104"/>
      <c r="ED4" s="102"/>
      <c r="EE4" s="103"/>
      <c r="EF4" s="104"/>
      <c r="EG4" s="102"/>
      <c r="EH4" s="105"/>
      <c r="EI4" s="101"/>
      <c r="EJ4" s="102"/>
      <c r="EK4" s="103"/>
      <c r="EL4" s="104"/>
      <c r="EM4" s="102"/>
      <c r="EN4" s="103"/>
      <c r="EO4" s="104"/>
      <c r="EP4" s="102"/>
      <c r="EQ4" s="105"/>
      <c r="ER4" s="101"/>
      <c r="ES4" s="102"/>
      <c r="ET4" s="103"/>
      <c r="EU4" s="104"/>
      <c r="EV4" s="102"/>
      <c r="EW4" s="103"/>
      <c r="EX4" s="104"/>
      <c r="EY4" s="102"/>
      <c r="EZ4" s="105"/>
      <c r="FA4" s="101"/>
      <c r="FB4" s="102"/>
      <c r="FC4" s="103"/>
      <c r="FD4" s="104"/>
      <c r="FE4" s="102"/>
      <c r="FF4" s="103"/>
      <c r="FG4" s="104"/>
      <c r="FH4" s="102"/>
      <c r="FI4" s="105"/>
      <c r="FJ4" s="101"/>
      <c r="FK4" s="102"/>
      <c r="FL4" s="103"/>
      <c r="FM4" s="104"/>
      <c r="FN4" s="102"/>
      <c r="FO4" s="103"/>
      <c r="FP4" s="104"/>
      <c r="FQ4" s="102"/>
      <c r="FR4" s="105"/>
      <c r="FS4" s="101"/>
      <c r="FT4" s="102"/>
      <c r="FU4" s="103"/>
      <c r="FV4" s="104"/>
      <c r="FW4" s="102"/>
      <c r="FX4" s="103"/>
      <c r="FY4" s="104"/>
      <c r="FZ4" s="102"/>
      <c r="GA4" s="105"/>
    </row>
    <row r="5" spans="1:183" ht="19.5" customHeight="1" x14ac:dyDescent="0.25">
      <c r="B5" s="130" t="str">
        <f>Donnees!$C$21</f>
        <v>Rédaction JNLTRAV</v>
      </c>
      <c r="C5" s="106">
        <v>0</v>
      </c>
      <c r="D5" s="95"/>
      <c r="E5" s="96"/>
      <c r="F5" s="97"/>
      <c r="G5" s="98"/>
      <c r="H5" s="96"/>
      <c r="I5" s="97"/>
      <c r="J5" s="98"/>
      <c r="K5" s="96"/>
      <c r="L5" s="99"/>
      <c r="M5" s="95"/>
      <c r="N5" s="96"/>
      <c r="O5" s="97"/>
      <c r="P5" s="98"/>
      <c r="Q5" s="96"/>
      <c r="R5" s="97"/>
      <c r="S5" s="98"/>
      <c r="T5" s="96"/>
      <c r="U5" s="99"/>
      <c r="V5" s="95"/>
      <c r="W5" s="96"/>
      <c r="X5" s="97"/>
      <c r="Y5" s="98"/>
      <c r="Z5" s="96"/>
      <c r="AA5" s="97"/>
      <c r="AB5" s="98"/>
      <c r="AC5" s="96"/>
      <c r="AD5" s="99"/>
      <c r="AE5" s="95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9"/>
      <c r="AW5" s="95"/>
      <c r="AX5" s="96"/>
      <c r="AY5" s="97"/>
      <c r="AZ5" s="98"/>
      <c r="BA5" s="96"/>
      <c r="BB5" s="97"/>
      <c r="BC5" s="98"/>
      <c r="BD5" s="96"/>
      <c r="BE5" s="99"/>
      <c r="BF5" s="95"/>
      <c r="BG5" s="96"/>
      <c r="BH5" s="97"/>
      <c r="BI5" s="98"/>
      <c r="BJ5" s="96"/>
      <c r="BK5" s="97"/>
      <c r="BL5" s="98"/>
      <c r="BM5" s="96"/>
      <c r="BN5" s="99"/>
      <c r="BO5" s="95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9"/>
      <c r="CG5" s="95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98"/>
      <c r="CW5" s="96"/>
      <c r="CX5" s="99"/>
      <c r="CY5" s="95"/>
      <c r="CZ5" s="96"/>
      <c r="DA5" s="97"/>
      <c r="DB5" s="98"/>
      <c r="DC5" s="96"/>
      <c r="DD5" s="97"/>
      <c r="DE5" s="98"/>
      <c r="DF5" s="96"/>
      <c r="DG5" s="99"/>
      <c r="DH5" s="95"/>
      <c r="DI5" s="96"/>
      <c r="DJ5" s="97"/>
      <c r="DK5" s="98"/>
      <c r="DL5" s="96"/>
      <c r="DM5" s="97"/>
      <c r="DN5" s="98"/>
      <c r="DO5" s="96"/>
      <c r="DP5" s="99"/>
      <c r="DQ5" s="95"/>
      <c r="DR5" s="96"/>
      <c r="DS5" s="97"/>
      <c r="DT5" s="98"/>
      <c r="DU5" s="96"/>
      <c r="DV5" s="97"/>
      <c r="DW5" s="98"/>
      <c r="DX5" s="96"/>
      <c r="DY5" s="99"/>
      <c r="DZ5" s="95"/>
      <c r="EA5" s="96"/>
      <c r="EB5" s="97"/>
      <c r="EC5" s="98"/>
      <c r="ED5" s="96"/>
      <c r="EE5" s="97"/>
      <c r="EF5" s="98"/>
      <c r="EG5" s="96"/>
      <c r="EH5" s="99"/>
      <c r="EI5" s="95"/>
      <c r="EJ5" s="96"/>
      <c r="EK5" s="97"/>
      <c r="EL5" s="98"/>
      <c r="EM5" s="96"/>
      <c r="EN5" s="97"/>
      <c r="EO5" s="98"/>
      <c r="EP5" s="96"/>
      <c r="EQ5" s="99"/>
      <c r="ER5" s="95"/>
      <c r="ES5" s="96"/>
      <c r="ET5" s="97"/>
      <c r="EU5" s="98"/>
      <c r="EV5" s="96"/>
      <c r="EW5" s="97"/>
      <c r="EX5" s="98"/>
      <c r="EY5" s="96"/>
      <c r="EZ5" s="99"/>
      <c r="FA5" s="95"/>
      <c r="FB5" s="96"/>
      <c r="FC5" s="97"/>
      <c r="FD5" s="98"/>
      <c r="FE5" s="96"/>
      <c r="FF5" s="97"/>
      <c r="FG5" s="98"/>
      <c r="FH5" s="96"/>
      <c r="FI5" s="99"/>
      <c r="FJ5" s="95"/>
      <c r="FK5" s="96"/>
      <c r="FL5" s="97"/>
      <c r="FM5" s="98"/>
      <c r="FN5" s="96"/>
      <c r="FO5" s="97"/>
      <c r="FP5" s="98"/>
      <c r="FQ5" s="96"/>
      <c r="FR5" s="99"/>
      <c r="FS5" s="95"/>
      <c r="FT5" s="96"/>
      <c r="FU5" s="97"/>
      <c r="FV5" s="98"/>
      <c r="FW5" s="96"/>
      <c r="FX5" s="97"/>
      <c r="FY5" s="98"/>
      <c r="FZ5" s="96"/>
      <c r="GA5" s="99"/>
    </row>
    <row r="6" spans="1:183" ht="19.5" customHeight="1" thickBot="1" x14ac:dyDescent="0.3">
      <c r="B6" s="127"/>
      <c r="C6" s="107">
        <v>0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04"/>
      <c r="T6" s="102"/>
      <c r="U6" s="105"/>
      <c r="V6" s="101"/>
      <c r="W6" s="102"/>
      <c r="X6" s="103"/>
      <c r="Y6" s="104"/>
      <c r="Z6" s="102"/>
      <c r="AA6" s="103"/>
      <c r="AB6" s="104"/>
      <c r="AC6" s="102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  <c r="BX6" s="101"/>
      <c r="BY6" s="102"/>
      <c r="BZ6" s="103"/>
      <c r="CA6" s="104"/>
      <c r="CB6" s="102"/>
      <c r="CC6" s="103"/>
      <c r="CD6" s="104"/>
      <c r="CE6" s="102"/>
      <c r="CF6" s="105"/>
      <c r="CG6" s="101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5"/>
      <c r="CY6" s="101"/>
      <c r="CZ6" s="102"/>
      <c r="DA6" s="103"/>
      <c r="DB6" s="104"/>
      <c r="DC6" s="102"/>
      <c r="DD6" s="103"/>
      <c r="DE6" s="104"/>
      <c r="DF6" s="102"/>
      <c r="DG6" s="105"/>
      <c r="DH6" s="101"/>
      <c r="DI6" s="102"/>
      <c r="DJ6" s="103"/>
      <c r="DK6" s="104"/>
      <c r="DL6" s="102"/>
      <c r="DM6" s="103"/>
      <c r="DN6" s="104"/>
      <c r="DO6" s="102"/>
      <c r="DP6" s="105"/>
      <c r="DQ6" s="101"/>
      <c r="DR6" s="102"/>
      <c r="DS6" s="103"/>
      <c r="DT6" s="104"/>
      <c r="DU6" s="102"/>
      <c r="DV6" s="103"/>
      <c r="DW6" s="104"/>
      <c r="DX6" s="102"/>
      <c r="DY6" s="105"/>
      <c r="DZ6" s="101"/>
      <c r="EA6" s="102"/>
      <c r="EB6" s="103"/>
      <c r="EC6" s="104"/>
      <c r="ED6" s="102"/>
      <c r="EE6" s="103"/>
      <c r="EF6" s="104"/>
      <c r="EG6" s="102"/>
      <c r="EH6" s="105"/>
      <c r="EI6" s="101"/>
      <c r="EJ6" s="102"/>
      <c r="EK6" s="103"/>
      <c r="EL6" s="104"/>
      <c r="EM6" s="102"/>
      <c r="EN6" s="103"/>
      <c r="EO6" s="104"/>
      <c r="EP6" s="102"/>
      <c r="EQ6" s="105"/>
      <c r="ER6" s="101"/>
      <c r="ES6" s="102"/>
      <c r="ET6" s="103"/>
      <c r="EU6" s="104"/>
      <c r="EV6" s="102"/>
      <c r="EW6" s="103"/>
      <c r="EX6" s="104"/>
      <c r="EY6" s="102"/>
      <c r="EZ6" s="105"/>
      <c r="FA6" s="101"/>
      <c r="FB6" s="102"/>
      <c r="FC6" s="103"/>
      <c r="FD6" s="104"/>
      <c r="FE6" s="102"/>
      <c r="FF6" s="103"/>
      <c r="FG6" s="104"/>
      <c r="FH6" s="102"/>
      <c r="FI6" s="105"/>
      <c r="FJ6" s="101"/>
      <c r="FK6" s="102"/>
      <c r="FL6" s="103"/>
      <c r="FM6" s="104"/>
      <c r="FN6" s="102"/>
      <c r="FO6" s="103"/>
      <c r="FP6" s="104"/>
      <c r="FQ6" s="102"/>
      <c r="FR6" s="105"/>
      <c r="FS6" s="101"/>
      <c r="FT6" s="102"/>
      <c r="FU6" s="103"/>
      <c r="FV6" s="104"/>
      <c r="FW6" s="102"/>
      <c r="FX6" s="103"/>
      <c r="FY6" s="104"/>
      <c r="FZ6" s="102"/>
      <c r="GA6" s="105"/>
    </row>
    <row r="7" spans="1:183" ht="19.5" customHeight="1" x14ac:dyDescent="0.25">
      <c r="B7" s="126" t="str">
        <f>Donnees!$C$22</f>
        <v>Dévloppement Java Script</v>
      </c>
      <c r="C7" s="106">
        <v>0</v>
      </c>
      <c r="D7" s="95"/>
      <c r="E7" s="96"/>
      <c r="F7" s="97"/>
      <c r="G7" s="98"/>
      <c r="H7" s="96"/>
      <c r="I7" s="97"/>
      <c r="J7" s="98"/>
      <c r="K7" s="96"/>
      <c r="L7" s="99"/>
      <c r="M7" s="95"/>
      <c r="N7" s="96"/>
      <c r="O7" s="97"/>
      <c r="P7" s="98"/>
      <c r="Q7" s="96"/>
      <c r="R7" s="97"/>
      <c r="S7" s="98"/>
      <c r="T7" s="96"/>
      <c r="U7" s="99"/>
      <c r="V7" s="95"/>
      <c r="W7" s="96"/>
      <c r="X7" s="97"/>
      <c r="Y7" s="98"/>
      <c r="Z7" s="96"/>
      <c r="AA7" s="97"/>
      <c r="AB7" s="98"/>
      <c r="AC7" s="96"/>
      <c r="AD7" s="99"/>
      <c r="AE7" s="95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9"/>
      <c r="AW7" s="95"/>
      <c r="AX7" s="96"/>
      <c r="AY7" s="97"/>
      <c r="AZ7" s="98"/>
      <c r="BA7" s="96"/>
      <c r="BB7" s="97"/>
      <c r="BC7" s="98"/>
      <c r="BD7" s="96"/>
      <c r="BE7" s="99"/>
      <c r="BF7" s="95"/>
      <c r="BG7" s="96"/>
      <c r="BH7" s="97"/>
      <c r="BI7" s="98"/>
      <c r="BJ7" s="96"/>
      <c r="BK7" s="97"/>
      <c r="BL7" s="98"/>
      <c r="BM7" s="96"/>
      <c r="BN7" s="99"/>
      <c r="BO7" s="95"/>
      <c r="BP7" s="96"/>
      <c r="BQ7" s="97"/>
      <c r="BR7" s="98"/>
      <c r="BS7" s="96"/>
      <c r="BT7" s="97"/>
      <c r="BU7" s="98"/>
      <c r="BV7" s="96"/>
      <c r="BW7" s="99"/>
      <c r="BX7" s="95"/>
      <c r="BY7" s="96"/>
      <c r="BZ7" s="97"/>
      <c r="CA7" s="98"/>
      <c r="CB7" s="96"/>
      <c r="CC7" s="97"/>
      <c r="CD7" s="98"/>
      <c r="CE7" s="96"/>
      <c r="CF7" s="99"/>
      <c r="CG7" s="95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99"/>
      <c r="CY7" s="95"/>
      <c r="CZ7" s="96"/>
      <c r="DA7" s="97"/>
      <c r="DB7" s="98"/>
      <c r="DC7" s="96"/>
      <c r="DD7" s="97"/>
      <c r="DE7" s="98"/>
      <c r="DF7" s="96"/>
      <c r="DG7" s="99"/>
      <c r="DH7" s="95"/>
      <c r="DI7" s="96"/>
      <c r="DJ7" s="97"/>
      <c r="DK7" s="98"/>
      <c r="DL7" s="96"/>
      <c r="DM7" s="97"/>
      <c r="DN7" s="98"/>
      <c r="DO7" s="96"/>
      <c r="DP7" s="99"/>
      <c r="DQ7" s="95"/>
      <c r="DR7" s="96"/>
      <c r="DS7" s="97"/>
      <c r="DT7" s="98"/>
      <c r="DU7" s="96"/>
      <c r="DV7" s="97"/>
      <c r="DW7" s="98"/>
      <c r="DX7" s="96"/>
      <c r="DY7" s="99"/>
      <c r="DZ7" s="95"/>
      <c r="EA7" s="96"/>
      <c r="EB7" s="97"/>
      <c r="EC7" s="98"/>
      <c r="ED7" s="96"/>
      <c r="EE7" s="97"/>
      <c r="EF7" s="98"/>
      <c r="EG7" s="96"/>
      <c r="EH7" s="99"/>
      <c r="EI7" s="95"/>
      <c r="EJ7" s="96"/>
      <c r="EK7" s="97"/>
      <c r="EL7" s="98"/>
      <c r="EM7" s="96"/>
      <c r="EN7" s="97"/>
      <c r="EO7" s="98"/>
      <c r="EP7" s="96"/>
      <c r="EQ7" s="99"/>
      <c r="ER7" s="95"/>
      <c r="ES7" s="96"/>
      <c r="ET7" s="97"/>
      <c r="EU7" s="98"/>
      <c r="EV7" s="96"/>
      <c r="EW7" s="97"/>
      <c r="EX7" s="98"/>
      <c r="EY7" s="96"/>
      <c r="EZ7" s="99"/>
      <c r="FA7" s="95"/>
      <c r="FB7" s="96"/>
      <c r="FC7" s="97"/>
      <c r="FD7" s="98"/>
      <c r="FE7" s="96"/>
      <c r="FF7" s="97"/>
      <c r="FG7" s="98"/>
      <c r="FH7" s="96"/>
      <c r="FI7" s="99"/>
      <c r="FJ7" s="95"/>
      <c r="FK7" s="96"/>
      <c r="FL7" s="97"/>
      <c r="FM7" s="98"/>
      <c r="FN7" s="96"/>
      <c r="FO7" s="97"/>
      <c r="FP7" s="98"/>
      <c r="FQ7" s="96"/>
      <c r="FR7" s="99"/>
      <c r="FS7" s="95"/>
      <c r="FT7" s="96"/>
      <c r="FU7" s="97"/>
      <c r="FV7" s="98"/>
      <c r="FW7" s="96"/>
      <c r="FX7" s="97"/>
      <c r="FY7" s="98"/>
      <c r="FZ7" s="96"/>
      <c r="GA7" s="99"/>
    </row>
    <row r="8" spans="1:183" ht="19.5" customHeight="1" thickBot="1" x14ac:dyDescent="0.3">
      <c r="B8" s="127"/>
      <c r="C8" s="107">
        <v>0</v>
      </c>
      <c r="D8" s="101"/>
      <c r="E8" s="102"/>
      <c r="F8" s="103"/>
      <c r="G8" s="104"/>
      <c r="H8" s="102"/>
      <c r="I8" s="103"/>
      <c r="J8" s="104"/>
      <c r="K8" s="102"/>
      <c r="L8" s="105"/>
      <c r="M8" s="101"/>
      <c r="N8" s="102"/>
      <c r="O8" s="103"/>
      <c r="P8" s="104"/>
      <c r="Q8" s="102"/>
      <c r="R8" s="103"/>
      <c r="S8" s="104"/>
      <c r="T8" s="102"/>
      <c r="U8" s="105"/>
      <c r="V8" s="101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  <c r="BX8" s="101"/>
      <c r="BY8" s="102"/>
      <c r="BZ8" s="103"/>
      <c r="CA8" s="104"/>
      <c r="CB8" s="102"/>
      <c r="CC8" s="103"/>
      <c r="CD8" s="104"/>
      <c r="CE8" s="102"/>
      <c r="CF8" s="105"/>
      <c r="CG8" s="101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5"/>
      <c r="CY8" s="101"/>
      <c r="CZ8" s="102"/>
      <c r="DA8" s="103"/>
      <c r="DB8" s="104"/>
      <c r="DC8" s="102"/>
      <c r="DD8" s="103"/>
      <c r="DE8" s="104"/>
      <c r="DF8" s="102"/>
      <c r="DG8" s="105"/>
      <c r="DH8" s="101"/>
      <c r="DI8" s="102"/>
      <c r="DJ8" s="103"/>
      <c r="DK8" s="104"/>
      <c r="DL8" s="102"/>
      <c r="DM8" s="103"/>
      <c r="DN8" s="104"/>
      <c r="DO8" s="102"/>
      <c r="DP8" s="105"/>
      <c r="DQ8" s="101"/>
      <c r="DR8" s="102"/>
      <c r="DS8" s="103"/>
      <c r="DT8" s="104"/>
      <c r="DU8" s="102"/>
      <c r="DV8" s="103"/>
      <c r="DW8" s="104"/>
      <c r="DX8" s="102"/>
      <c r="DY8" s="105"/>
      <c r="DZ8" s="101"/>
      <c r="EA8" s="102"/>
      <c r="EB8" s="103"/>
      <c r="EC8" s="104"/>
      <c r="ED8" s="102"/>
      <c r="EE8" s="103"/>
      <c r="EF8" s="104"/>
      <c r="EG8" s="102"/>
      <c r="EH8" s="105"/>
      <c r="EI8" s="101"/>
      <c r="EJ8" s="102"/>
      <c r="EK8" s="103"/>
      <c r="EL8" s="104"/>
      <c r="EM8" s="102"/>
      <c r="EN8" s="103"/>
      <c r="EO8" s="104"/>
      <c r="EP8" s="102"/>
      <c r="EQ8" s="105"/>
      <c r="ER8" s="101"/>
      <c r="ES8" s="102"/>
      <c r="ET8" s="103"/>
      <c r="EU8" s="104"/>
      <c r="EV8" s="102"/>
      <c r="EW8" s="103"/>
      <c r="EX8" s="104"/>
      <c r="EY8" s="102"/>
      <c r="EZ8" s="105"/>
      <c r="FA8" s="101"/>
      <c r="FB8" s="102"/>
      <c r="FC8" s="103"/>
      <c r="FD8" s="104"/>
      <c r="FE8" s="102"/>
      <c r="FF8" s="103"/>
      <c r="FG8" s="104"/>
      <c r="FH8" s="102"/>
      <c r="FI8" s="105"/>
      <c r="FJ8" s="101"/>
      <c r="FK8" s="102"/>
      <c r="FL8" s="103"/>
      <c r="FM8" s="104"/>
      <c r="FN8" s="102"/>
      <c r="FO8" s="103"/>
      <c r="FP8" s="104"/>
      <c r="FQ8" s="102"/>
      <c r="FR8" s="105"/>
      <c r="FS8" s="101"/>
      <c r="FT8" s="102"/>
      <c r="FU8" s="103"/>
      <c r="FV8" s="104"/>
      <c r="FW8" s="102"/>
      <c r="FX8" s="103"/>
      <c r="FY8" s="104"/>
      <c r="FZ8" s="102"/>
      <c r="GA8" s="105"/>
    </row>
    <row r="9" spans="1:183" ht="19.5" customHeight="1" x14ac:dyDescent="0.25">
      <c r="B9" s="126" t="str">
        <f>Donnees!$C$23</f>
        <v>Dévloppement HTML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9"/>
      <c r="M9" s="95"/>
      <c r="N9" s="96"/>
      <c r="O9" s="97"/>
      <c r="P9" s="98"/>
      <c r="Q9" s="96"/>
      <c r="R9" s="97"/>
      <c r="S9" s="98"/>
      <c r="T9" s="96"/>
      <c r="U9" s="99"/>
      <c r="V9" s="95"/>
      <c r="W9" s="96"/>
      <c r="X9" s="97"/>
      <c r="Y9" s="98"/>
      <c r="Z9" s="96"/>
      <c r="AA9" s="97"/>
      <c r="AB9" s="98"/>
      <c r="AC9" s="96"/>
      <c r="AD9" s="99"/>
      <c r="AE9" s="95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9"/>
      <c r="AW9" s="95"/>
      <c r="AX9" s="96"/>
      <c r="AY9" s="97"/>
      <c r="AZ9" s="98"/>
      <c r="BA9" s="96"/>
      <c r="BB9" s="97"/>
      <c r="BC9" s="98"/>
      <c r="BD9" s="96"/>
      <c r="BE9" s="99"/>
      <c r="BF9" s="95"/>
      <c r="BG9" s="96"/>
      <c r="BH9" s="97"/>
      <c r="BI9" s="98"/>
      <c r="BJ9" s="96"/>
      <c r="BK9" s="97"/>
      <c r="BL9" s="98"/>
      <c r="BM9" s="96"/>
      <c r="BN9" s="99"/>
      <c r="BO9" s="95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9"/>
      <c r="CG9" s="95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9"/>
      <c r="CY9" s="95"/>
      <c r="CZ9" s="96"/>
      <c r="DA9" s="97"/>
      <c r="DB9" s="98"/>
      <c r="DC9" s="96"/>
      <c r="DD9" s="97"/>
      <c r="DE9" s="98"/>
      <c r="DF9" s="96"/>
      <c r="DG9" s="99"/>
      <c r="DH9" s="95"/>
      <c r="DI9" s="96"/>
      <c r="DJ9" s="97"/>
      <c r="DK9" s="98"/>
      <c r="DL9" s="96"/>
      <c r="DM9" s="97"/>
      <c r="DN9" s="98"/>
      <c r="DO9" s="96"/>
      <c r="DP9" s="99"/>
      <c r="DQ9" s="95"/>
      <c r="DR9" s="96"/>
      <c r="DS9" s="97"/>
      <c r="DT9" s="98"/>
      <c r="DU9" s="96"/>
      <c r="DV9" s="97"/>
      <c r="DW9" s="98"/>
      <c r="DX9" s="96"/>
      <c r="DY9" s="99"/>
      <c r="DZ9" s="95"/>
      <c r="EA9" s="96"/>
      <c r="EB9" s="97"/>
      <c r="EC9" s="98"/>
      <c r="ED9" s="96"/>
      <c r="EE9" s="97"/>
      <c r="EF9" s="98"/>
      <c r="EG9" s="96"/>
      <c r="EH9" s="99"/>
      <c r="EI9" s="95"/>
      <c r="EJ9" s="96"/>
      <c r="EK9" s="97"/>
      <c r="EL9" s="98"/>
      <c r="EM9" s="96"/>
      <c r="EN9" s="97"/>
      <c r="EO9" s="98"/>
      <c r="EP9" s="96"/>
      <c r="EQ9" s="99"/>
      <c r="ER9" s="95"/>
      <c r="ES9" s="96"/>
      <c r="ET9" s="97"/>
      <c r="EU9" s="98"/>
      <c r="EV9" s="96"/>
      <c r="EW9" s="97"/>
      <c r="EX9" s="98"/>
      <c r="EY9" s="96"/>
      <c r="EZ9" s="99"/>
      <c r="FA9" s="95"/>
      <c r="FB9" s="96"/>
      <c r="FC9" s="97"/>
      <c r="FD9" s="98"/>
      <c r="FE9" s="96"/>
      <c r="FF9" s="97"/>
      <c r="FG9" s="98"/>
      <c r="FH9" s="96"/>
      <c r="FI9" s="99"/>
      <c r="FJ9" s="95"/>
      <c r="FK9" s="96"/>
      <c r="FL9" s="97"/>
      <c r="FM9" s="98"/>
      <c r="FN9" s="96"/>
      <c r="FO9" s="97"/>
      <c r="FP9" s="98"/>
      <c r="FQ9" s="96"/>
      <c r="FR9" s="99"/>
      <c r="FS9" s="95"/>
      <c r="FT9" s="96"/>
      <c r="FU9" s="97"/>
      <c r="FV9" s="98"/>
      <c r="FW9" s="96"/>
      <c r="FX9" s="97"/>
      <c r="FY9" s="98"/>
      <c r="FZ9" s="96"/>
      <c r="GA9" s="99"/>
    </row>
    <row r="10" spans="1:183" ht="19.5" customHeight="1" thickBot="1" x14ac:dyDescent="0.3">
      <c r="B10" s="127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02"/>
      <c r="R10" s="103"/>
      <c r="S10" s="104"/>
      <c r="T10" s="102"/>
      <c r="U10" s="105"/>
      <c r="V10" s="101"/>
      <c r="W10" s="102"/>
      <c r="X10" s="103"/>
      <c r="Y10" s="104"/>
      <c r="Z10" s="102"/>
      <c r="AA10" s="103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  <c r="BX10" s="101"/>
      <c r="BY10" s="102"/>
      <c r="BZ10" s="103"/>
      <c r="CA10" s="104"/>
      <c r="CB10" s="102"/>
      <c r="CC10" s="103"/>
      <c r="CD10" s="104"/>
      <c r="CE10" s="102"/>
      <c r="CF10" s="105"/>
      <c r="CG10" s="101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5"/>
      <c r="CY10" s="101"/>
      <c r="CZ10" s="102"/>
      <c r="DA10" s="103"/>
      <c r="DB10" s="104"/>
      <c r="DC10" s="102"/>
      <c r="DD10" s="103"/>
      <c r="DE10" s="104"/>
      <c r="DF10" s="102"/>
      <c r="DG10" s="105"/>
      <c r="DH10" s="101"/>
      <c r="DI10" s="102"/>
      <c r="DJ10" s="103"/>
      <c r="DK10" s="104"/>
      <c r="DL10" s="102"/>
      <c r="DM10" s="103"/>
      <c r="DN10" s="104"/>
      <c r="DO10" s="102"/>
      <c r="DP10" s="105"/>
      <c r="DQ10" s="101"/>
      <c r="DR10" s="102"/>
      <c r="DS10" s="103"/>
      <c r="DT10" s="104"/>
      <c r="DU10" s="102"/>
      <c r="DV10" s="103"/>
      <c r="DW10" s="104"/>
      <c r="DX10" s="102"/>
      <c r="DY10" s="105"/>
      <c r="DZ10" s="101"/>
      <c r="EA10" s="102"/>
      <c r="EB10" s="103"/>
      <c r="EC10" s="104"/>
      <c r="ED10" s="102"/>
      <c r="EE10" s="103"/>
      <c r="EF10" s="104"/>
      <c r="EG10" s="102"/>
      <c r="EH10" s="105"/>
      <c r="EI10" s="101"/>
      <c r="EJ10" s="102"/>
      <c r="EK10" s="103"/>
      <c r="EL10" s="104"/>
      <c r="EM10" s="102"/>
      <c r="EN10" s="103"/>
      <c r="EO10" s="104"/>
      <c r="EP10" s="102"/>
      <c r="EQ10" s="105"/>
      <c r="ER10" s="101"/>
      <c r="ES10" s="102"/>
      <c r="ET10" s="103"/>
      <c r="EU10" s="104"/>
      <c r="EV10" s="102"/>
      <c r="EW10" s="103"/>
      <c r="EX10" s="104"/>
      <c r="EY10" s="102"/>
      <c r="EZ10" s="105"/>
      <c r="FA10" s="101"/>
      <c r="FB10" s="102"/>
      <c r="FC10" s="103"/>
      <c r="FD10" s="104"/>
      <c r="FE10" s="102"/>
      <c r="FF10" s="103"/>
      <c r="FG10" s="104"/>
      <c r="FH10" s="102"/>
      <c r="FI10" s="105"/>
      <c r="FJ10" s="101"/>
      <c r="FK10" s="102"/>
      <c r="FL10" s="103"/>
      <c r="FM10" s="104"/>
      <c r="FN10" s="102"/>
      <c r="FO10" s="103"/>
      <c r="FP10" s="104"/>
      <c r="FQ10" s="102"/>
      <c r="FR10" s="105"/>
      <c r="FS10" s="101"/>
      <c r="FT10" s="102"/>
      <c r="FU10" s="103"/>
      <c r="FV10" s="104"/>
      <c r="FW10" s="102"/>
      <c r="FX10" s="103"/>
      <c r="FY10" s="104"/>
      <c r="FZ10" s="102"/>
      <c r="GA10" s="105"/>
    </row>
    <row r="11" spans="1:183" ht="19.5" customHeight="1" x14ac:dyDescent="0.25">
      <c r="B11" s="126" t="str">
        <f>Donnees!$C$24</f>
        <v>Absence</v>
      </c>
      <c r="C11" s="106">
        <v>0</v>
      </c>
      <c r="D11" s="95"/>
      <c r="E11" s="96"/>
      <c r="F11" s="97"/>
      <c r="G11" s="98"/>
      <c r="H11" s="96"/>
      <c r="I11" s="97"/>
      <c r="J11" s="98"/>
      <c r="K11" s="96"/>
      <c r="L11" s="99"/>
      <c r="M11" s="95"/>
      <c r="N11" s="96"/>
      <c r="O11" s="97"/>
      <c r="P11" s="98"/>
      <c r="Q11" s="96"/>
      <c r="R11" s="97"/>
      <c r="S11" s="98"/>
      <c r="T11" s="96"/>
      <c r="U11" s="99"/>
      <c r="V11" s="95"/>
      <c r="W11" s="96"/>
      <c r="X11" s="97"/>
      <c r="Y11" s="98"/>
      <c r="Z11" s="96"/>
      <c r="AA11" s="97"/>
      <c r="AB11" s="98"/>
      <c r="AC11" s="96"/>
      <c r="AD11" s="99"/>
      <c r="AE11" s="95"/>
      <c r="AF11" s="96"/>
      <c r="AG11" s="97"/>
      <c r="AH11" s="98"/>
      <c r="AI11" s="96"/>
      <c r="AJ11" s="97"/>
      <c r="AK11" s="98"/>
      <c r="AL11" s="96"/>
      <c r="AM11" s="99"/>
      <c r="AN11" s="95"/>
      <c r="AO11" s="96"/>
      <c r="AP11" s="97"/>
      <c r="AQ11" s="98"/>
      <c r="AR11" s="96"/>
      <c r="AS11" s="97"/>
      <c r="AT11" s="98"/>
      <c r="AU11" s="96"/>
      <c r="AV11" s="99"/>
      <c r="AW11" s="95"/>
      <c r="AX11" s="96"/>
      <c r="AY11" s="97"/>
      <c r="AZ11" s="98"/>
      <c r="BA11" s="96"/>
      <c r="BB11" s="97"/>
      <c r="BC11" s="98"/>
      <c r="BD11" s="96"/>
      <c r="BE11" s="99"/>
      <c r="BF11" s="95"/>
      <c r="BG11" s="96"/>
      <c r="BH11" s="97"/>
      <c r="BI11" s="98"/>
      <c r="BJ11" s="96"/>
      <c r="BK11" s="97"/>
      <c r="BL11" s="98"/>
      <c r="BM11" s="96"/>
      <c r="BN11" s="99"/>
      <c r="BO11" s="95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9"/>
      <c r="CG11" s="95"/>
      <c r="CH11" s="96"/>
      <c r="CI11" s="97"/>
      <c r="CJ11" s="98"/>
      <c r="CK11" s="96"/>
      <c r="CL11" s="97"/>
      <c r="CM11" s="98"/>
      <c r="CN11" s="96"/>
      <c r="CO11" s="99"/>
      <c r="CP11" s="95"/>
      <c r="CQ11" s="96"/>
      <c r="CR11" s="97"/>
      <c r="CS11" s="98"/>
      <c r="CT11" s="96"/>
      <c r="CU11" s="97"/>
      <c r="CV11" s="98"/>
      <c r="CW11" s="96"/>
      <c r="CX11" s="99"/>
      <c r="CY11" s="95"/>
      <c r="CZ11" s="96"/>
      <c r="DA11" s="97"/>
      <c r="DB11" s="98"/>
      <c r="DC11" s="96"/>
      <c r="DD11" s="97"/>
      <c r="DE11" s="98"/>
      <c r="DF11" s="96"/>
      <c r="DG11" s="99"/>
      <c r="DH11" s="95"/>
      <c r="DI11" s="96"/>
      <c r="DJ11" s="97"/>
      <c r="DK11" s="98"/>
      <c r="DL11" s="96"/>
      <c r="DM11" s="97"/>
      <c r="DN11" s="98"/>
      <c r="DO11" s="96"/>
      <c r="DP11" s="99"/>
      <c r="DQ11" s="95"/>
      <c r="DR11" s="96"/>
      <c r="DS11" s="97"/>
      <c r="DT11" s="98"/>
      <c r="DU11" s="96"/>
      <c r="DV11" s="97"/>
      <c r="DW11" s="98"/>
      <c r="DX11" s="96"/>
      <c r="DY11" s="99"/>
      <c r="DZ11" s="95"/>
      <c r="EA11" s="96"/>
      <c r="EB11" s="97"/>
      <c r="EC11" s="98"/>
      <c r="ED11" s="96"/>
      <c r="EE11" s="97"/>
      <c r="EF11" s="98"/>
      <c r="EG11" s="96"/>
      <c r="EH11" s="99"/>
      <c r="EI11" s="95"/>
      <c r="EJ11" s="96"/>
      <c r="EK11" s="97"/>
      <c r="EL11" s="98"/>
      <c r="EM11" s="96"/>
      <c r="EN11" s="97"/>
      <c r="EO11" s="98"/>
      <c r="EP11" s="96"/>
      <c r="EQ11" s="99"/>
      <c r="ER11" s="95"/>
      <c r="ES11" s="96"/>
      <c r="ET11" s="97"/>
      <c r="EU11" s="98"/>
      <c r="EV11" s="96"/>
      <c r="EW11" s="97"/>
      <c r="EX11" s="98"/>
      <c r="EY11" s="96"/>
      <c r="EZ11" s="99"/>
      <c r="FA11" s="95"/>
      <c r="FB11" s="96"/>
      <c r="FC11" s="97"/>
      <c r="FD11" s="98"/>
      <c r="FE11" s="96"/>
      <c r="FF11" s="97"/>
      <c r="FG11" s="98"/>
      <c r="FH11" s="96"/>
      <c r="FI11" s="99"/>
      <c r="FJ11" s="95"/>
      <c r="FK11" s="96"/>
      <c r="FL11" s="97"/>
      <c r="FM11" s="98"/>
      <c r="FN11" s="96"/>
      <c r="FO11" s="97"/>
      <c r="FP11" s="98"/>
      <c r="FQ11" s="96"/>
      <c r="FR11" s="99"/>
      <c r="FS11" s="95"/>
      <c r="FT11" s="96"/>
      <c r="FU11" s="97"/>
      <c r="FV11" s="98"/>
      <c r="FW11" s="96"/>
      <c r="FX11" s="97"/>
      <c r="FY11" s="98"/>
      <c r="FZ11" s="96"/>
      <c r="GA11" s="99"/>
    </row>
    <row r="12" spans="1:183" ht="19.5" customHeight="1" thickBot="1" x14ac:dyDescent="0.3">
      <c r="B12" s="127"/>
      <c r="C12" s="107">
        <v>0</v>
      </c>
      <c r="D12" s="101"/>
      <c r="E12" s="102"/>
      <c r="F12" s="103"/>
      <c r="G12" s="104"/>
      <c r="H12" s="102"/>
      <c r="I12" s="103"/>
      <c r="J12" s="104"/>
      <c r="K12" s="102"/>
      <c r="L12" s="105"/>
      <c r="M12" s="101"/>
      <c r="N12" s="102"/>
      <c r="O12" s="103"/>
      <c r="P12" s="104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  <c r="BX12" s="101"/>
      <c r="BY12" s="102"/>
      <c r="BZ12" s="103"/>
      <c r="CA12" s="104"/>
      <c r="CB12" s="102"/>
      <c r="CC12" s="103"/>
      <c r="CD12" s="104"/>
      <c r="CE12" s="102"/>
      <c r="CF12" s="105"/>
      <c r="CG12" s="101"/>
      <c r="CH12" s="102"/>
      <c r="CI12" s="103"/>
      <c r="CJ12" s="104"/>
      <c r="CK12" s="102"/>
      <c r="CL12" s="103"/>
      <c r="CM12" s="104"/>
      <c r="CN12" s="102"/>
      <c r="CO12" s="105"/>
      <c r="CP12" s="101"/>
      <c r="CQ12" s="102"/>
      <c r="CR12" s="103"/>
      <c r="CS12" s="104"/>
      <c r="CT12" s="102"/>
      <c r="CU12" s="103"/>
      <c r="CV12" s="104"/>
      <c r="CW12" s="102"/>
      <c r="CX12" s="105"/>
      <c r="CY12" s="101"/>
      <c r="CZ12" s="102"/>
      <c r="DA12" s="103"/>
      <c r="DB12" s="104"/>
      <c r="DC12" s="102"/>
      <c r="DD12" s="103"/>
      <c r="DE12" s="104"/>
      <c r="DF12" s="102"/>
      <c r="DG12" s="105"/>
      <c r="DH12" s="101"/>
      <c r="DI12" s="102"/>
      <c r="DJ12" s="103"/>
      <c r="DK12" s="104"/>
      <c r="DL12" s="102"/>
      <c r="DM12" s="103"/>
      <c r="DN12" s="104"/>
      <c r="DO12" s="102"/>
      <c r="DP12" s="105"/>
      <c r="DQ12" s="101"/>
      <c r="DR12" s="102"/>
      <c r="DS12" s="103"/>
      <c r="DT12" s="104"/>
      <c r="DU12" s="102"/>
      <c r="DV12" s="103"/>
      <c r="DW12" s="104"/>
      <c r="DX12" s="102"/>
      <c r="DY12" s="105"/>
      <c r="DZ12" s="101"/>
      <c r="EA12" s="102"/>
      <c r="EB12" s="103"/>
      <c r="EC12" s="104"/>
      <c r="ED12" s="102"/>
      <c r="EE12" s="103"/>
      <c r="EF12" s="104"/>
      <c r="EG12" s="102"/>
      <c r="EH12" s="105"/>
      <c r="EI12" s="101"/>
      <c r="EJ12" s="102"/>
      <c r="EK12" s="103"/>
      <c r="EL12" s="104"/>
      <c r="EM12" s="102"/>
      <c r="EN12" s="103"/>
      <c r="EO12" s="104"/>
      <c r="EP12" s="102"/>
      <c r="EQ12" s="105"/>
      <c r="ER12" s="101"/>
      <c r="ES12" s="102"/>
      <c r="ET12" s="103"/>
      <c r="EU12" s="104"/>
      <c r="EV12" s="102"/>
      <c r="EW12" s="103"/>
      <c r="EX12" s="104"/>
      <c r="EY12" s="102"/>
      <c r="EZ12" s="105"/>
      <c r="FA12" s="101"/>
      <c r="FB12" s="102"/>
      <c r="FC12" s="103"/>
      <c r="FD12" s="104"/>
      <c r="FE12" s="102"/>
      <c r="FF12" s="103"/>
      <c r="FG12" s="104"/>
      <c r="FH12" s="102"/>
      <c r="FI12" s="105"/>
      <c r="FJ12" s="101"/>
      <c r="FK12" s="102"/>
      <c r="FL12" s="103"/>
      <c r="FM12" s="104"/>
      <c r="FN12" s="102"/>
      <c r="FO12" s="103"/>
      <c r="FP12" s="104"/>
      <c r="FQ12" s="102"/>
      <c r="FR12" s="105"/>
      <c r="FS12" s="101"/>
      <c r="FT12" s="102"/>
      <c r="FU12" s="103"/>
      <c r="FV12" s="104"/>
      <c r="FW12" s="102"/>
      <c r="FX12" s="103"/>
      <c r="FY12" s="104"/>
      <c r="FZ12" s="102"/>
      <c r="GA12" s="105"/>
    </row>
    <row r="13" spans="1:183" ht="19.5" customHeight="1" x14ac:dyDescent="0.25">
      <c r="B13" s="126" t="str">
        <f>Donnees!$C$25</f>
        <v>Autre</v>
      </c>
      <c r="C13" s="106">
        <v>0</v>
      </c>
      <c r="D13" s="95"/>
      <c r="E13" s="96"/>
      <c r="F13" s="97"/>
      <c r="G13" s="98"/>
      <c r="H13" s="96"/>
      <c r="I13" s="97"/>
      <c r="J13" s="98"/>
      <c r="K13" s="96"/>
      <c r="L13" s="99"/>
      <c r="M13" s="95"/>
      <c r="N13" s="96"/>
      <c r="O13" s="97"/>
      <c r="P13" s="98"/>
      <c r="Q13" s="96"/>
      <c r="R13" s="97"/>
      <c r="S13" s="98"/>
      <c r="T13" s="96"/>
      <c r="U13" s="99"/>
      <c r="V13" s="95"/>
      <c r="W13" s="96"/>
      <c r="X13" s="97"/>
      <c r="Y13" s="98"/>
      <c r="Z13" s="96"/>
      <c r="AA13" s="97"/>
      <c r="AB13" s="98"/>
      <c r="AC13" s="96"/>
      <c r="AD13" s="99"/>
      <c r="AE13" s="95"/>
      <c r="AF13" s="96"/>
      <c r="AG13" s="97"/>
      <c r="AH13" s="9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9"/>
      <c r="AW13" s="95"/>
      <c r="AX13" s="96"/>
      <c r="AY13" s="97"/>
      <c r="AZ13" s="98"/>
      <c r="BA13" s="96"/>
      <c r="BB13" s="97"/>
      <c r="BC13" s="98"/>
      <c r="BD13" s="96"/>
      <c r="BE13" s="99"/>
      <c r="BF13" s="95"/>
      <c r="BG13" s="96"/>
      <c r="BH13" s="97"/>
      <c r="BI13" s="98"/>
      <c r="BJ13" s="96"/>
      <c r="BK13" s="97"/>
      <c r="BL13" s="98"/>
      <c r="BM13" s="96"/>
      <c r="BN13" s="99"/>
      <c r="BO13" s="95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9"/>
      <c r="CG13" s="95"/>
      <c r="CH13" s="96"/>
      <c r="CI13" s="97"/>
      <c r="CJ13" s="98"/>
      <c r="CK13" s="96"/>
      <c r="CL13" s="97"/>
      <c r="CM13" s="98"/>
      <c r="CN13" s="96"/>
      <c r="CO13" s="99"/>
      <c r="CP13" s="95"/>
      <c r="CQ13" s="96"/>
      <c r="CR13" s="97"/>
      <c r="CS13" s="98"/>
      <c r="CT13" s="96"/>
      <c r="CU13" s="97"/>
      <c r="CV13" s="98"/>
      <c r="CW13" s="96"/>
      <c r="CX13" s="99"/>
      <c r="CY13" s="95"/>
      <c r="CZ13" s="96"/>
      <c r="DA13" s="97"/>
      <c r="DB13" s="98"/>
      <c r="DC13" s="96"/>
      <c r="DD13" s="97"/>
      <c r="DE13" s="98"/>
      <c r="DF13" s="96"/>
      <c r="DG13" s="99"/>
      <c r="DH13" s="95"/>
      <c r="DI13" s="96"/>
      <c r="DJ13" s="97"/>
      <c r="DK13" s="98"/>
      <c r="DL13" s="96"/>
      <c r="DM13" s="97"/>
      <c r="DN13" s="98"/>
      <c r="DO13" s="96"/>
      <c r="DP13" s="99"/>
      <c r="DQ13" s="95"/>
      <c r="DR13" s="96"/>
      <c r="DS13" s="97"/>
      <c r="DT13" s="98"/>
      <c r="DU13" s="96"/>
      <c r="DV13" s="97"/>
      <c r="DW13" s="98"/>
      <c r="DX13" s="96"/>
      <c r="DY13" s="99"/>
      <c r="DZ13" s="95"/>
      <c r="EA13" s="96"/>
      <c r="EB13" s="97"/>
      <c r="EC13" s="98"/>
      <c r="ED13" s="96"/>
      <c r="EE13" s="97"/>
      <c r="EF13" s="98"/>
      <c r="EG13" s="96"/>
      <c r="EH13" s="99"/>
      <c r="EI13" s="95"/>
      <c r="EJ13" s="96"/>
      <c r="EK13" s="97"/>
      <c r="EL13" s="98"/>
      <c r="EM13" s="96"/>
      <c r="EN13" s="97"/>
      <c r="EO13" s="98"/>
      <c r="EP13" s="96"/>
      <c r="EQ13" s="99"/>
      <c r="ER13" s="95"/>
      <c r="ES13" s="96"/>
      <c r="ET13" s="97"/>
      <c r="EU13" s="98"/>
      <c r="EV13" s="96"/>
      <c r="EW13" s="97"/>
      <c r="EX13" s="98"/>
      <c r="EY13" s="96"/>
      <c r="EZ13" s="99"/>
      <c r="FA13" s="95"/>
      <c r="FB13" s="96"/>
      <c r="FC13" s="97"/>
      <c r="FD13" s="98"/>
      <c r="FE13" s="96"/>
      <c r="FF13" s="97"/>
      <c r="FG13" s="98"/>
      <c r="FH13" s="96"/>
      <c r="FI13" s="99"/>
      <c r="FJ13" s="95"/>
      <c r="FK13" s="96"/>
      <c r="FL13" s="97"/>
      <c r="FM13" s="98"/>
      <c r="FN13" s="96"/>
      <c r="FO13" s="97"/>
      <c r="FP13" s="98"/>
      <c r="FQ13" s="96"/>
      <c r="FR13" s="99"/>
      <c r="FS13" s="95"/>
      <c r="FT13" s="96"/>
      <c r="FU13" s="97"/>
      <c r="FV13" s="98"/>
      <c r="FW13" s="96"/>
      <c r="FX13" s="97"/>
      <c r="FY13" s="98"/>
      <c r="FZ13" s="96"/>
      <c r="GA13" s="99"/>
    </row>
    <row r="14" spans="1:183" ht="19.5" customHeight="1" thickBot="1" x14ac:dyDescent="0.3">
      <c r="B14" s="127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  <c r="BX14" s="101"/>
      <c r="BY14" s="102"/>
      <c r="BZ14" s="103"/>
      <c r="CA14" s="104"/>
      <c r="CB14" s="102"/>
      <c r="CC14" s="103"/>
      <c r="CD14" s="104"/>
      <c r="CE14" s="102"/>
      <c r="CF14" s="105"/>
      <c r="CG14" s="101"/>
      <c r="CH14" s="102"/>
      <c r="CI14" s="103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5"/>
      <c r="CY14" s="101"/>
      <c r="CZ14" s="102"/>
      <c r="DA14" s="103"/>
      <c r="DB14" s="104"/>
      <c r="DC14" s="102"/>
      <c r="DD14" s="103"/>
      <c r="DE14" s="104"/>
      <c r="DF14" s="102"/>
      <c r="DG14" s="105"/>
      <c r="DH14" s="101"/>
      <c r="DI14" s="102"/>
      <c r="DJ14" s="103"/>
      <c r="DK14" s="104"/>
      <c r="DL14" s="102"/>
      <c r="DM14" s="103"/>
      <c r="DN14" s="104"/>
      <c r="DO14" s="102"/>
      <c r="DP14" s="105"/>
      <c r="DQ14" s="101"/>
      <c r="DR14" s="102"/>
      <c r="DS14" s="103"/>
      <c r="DT14" s="104"/>
      <c r="DU14" s="102"/>
      <c r="DV14" s="103"/>
      <c r="DW14" s="104"/>
      <c r="DX14" s="102"/>
      <c r="DY14" s="105"/>
      <c r="DZ14" s="101"/>
      <c r="EA14" s="102"/>
      <c r="EB14" s="103"/>
      <c r="EC14" s="104"/>
      <c r="ED14" s="102"/>
      <c r="EE14" s="103"/>
      <c r="EF14" s="104"/>
      <c r="EG14" s="102"/>
      <c r="EH14" s="105"/>
      <c r="EI14" s="101"/>
      <c r="EJ14" s="102"/>
      <c r="EK14" s="103"/>
      <c r="EL14" s="104"/>
      <c r="EM14" s="102"/>
      <c r="EN14" s="103"/>
      <c r="EO14" s="104"/>
      <c r="EP14" s="102"/>
      <c r="EQ14" s="105"/>
      <c r="ER14" s="101"/>
      <c r="ES14" s="102"/>
      <c r="ET14" s="103"/>
      <c r="EU14" s="104"/>
      <c r="EV14" s="102"/>
      <c r="EW14" s="103"/>
      <c r="EX14" s="104"/>
      <c r="EY14" s="102"/>
      <c r="EZ14" s="105"/>
      <c r="FA14" s="101"/>
      <c r="FB14" s="102"/>
      <c r="FC14" s="103"/>
      <c r="FD14" s="104"/>
      <c r="FE14" s="102"/>
      <c r="FF14" s="103"/>
      <c r="FG14" s="104"/>
      <c r="FH14" s="102"/>
      <c r="FI14" s="105"/>
      <c r="FJ14" s="101"/>
      <c r="FK14" s="102"/>
      <c r="FL14" s="103"/>
      <c r="FM14" s="104"/>
      <c r="FN14" s="102"/>
      <c r="FO14" s="103"/>
      <c r="FP14" s="104"/>
      <c r="FQ14" s="102"/>
      <c r="FR14" s="105"/>
      <c r="FS14" s="101"/>
      <c r="FT14" s="102"/>
      <c r="FU14" s="103"/>
      <c r="FV14" s="104"/>
      <c r="FW14" s="102"/>
      <c r="FX14" s="103"/>
      <c r="FY14" s="104"/>
      <c r="FZ14" s="102"/>
      <c r="GA14" s="105"/>
    </row>
    <row r="15" spans="1:183" ht="19.5" customHeight="1" x14ac:dyDescent="0.25">
      <c r="B15" s="126" t="str">
        <f>Donnees!$C$26</f>
        <v xml:space="preserve">Analyser le site Web 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9"/>
      <c r="M15" s="95"/>
      <c r="N15" s="96"/>
      <c r="O15" s="97"/>
      <c r="P15" s="98"/>
      <c r="Q15" s="96"/>
      <c r="R15" s="97"/>
      <c r="S15" s="98"/>
      <c r="T15" s="96"/>
      <c r="U15" s="99"/>
      <c r="V15" s="95"/>
      <c r="W15" s="96"/>
      <c r="X15" s="97"/>
      <c r="Y15" s="98"/>
      <c r="Z15" s="96"/>
      <c r="AA15" s="97"/>
      <c r="AB15" s="98"/>
      <c r="AC15" s="96"/>
      <c r="AD15" s="99"/>
      <c r="AE15" s="95"/>
      <c r="AF15" s="96"/>
      <c r="AG15" s="97"/>
      <c r="AH15" s="98"/>
      <c r="AI15" s="96"/>
      <c r="AJ15" s="97"/>
      <c r="AK15" s="98"/>
      <c r="AL15" s="96"/>
      <c r="AM15" s="99"/>
      <c r="AN15" s="95"/>
      <c r="AO15" s="96"/>
      <c r="AP15" s="97"/>
      <c r="AQ15" s="98"/>
      <c r="AR15" s="96"/>
      <c r="AS15" s="97"/>
      <c r="AT15" s="98"/>
      <c r="AU15" s="96"/>
      <c r="AV15" s="99"/>
      <c r="AW15" s="95"/>
      <c r="AX15" s="96"/>
      <c r="AY15" s="97"/>
      <c r="AZ15" s="98"/>
      <c r="BA15" s="96"/>
      <c r="BB15" s="97"/>
      <c r="BC15" s="98"/>
      <c r="BD15" s="96"/>
      <c r="BE15" s="99"/>
      <c r="BF15" s="95"/>
      <c r="BG15" s="96"/>
      <c r="BH15" s="97"/>
      <c r="BI15" s="98"/>
      <c r="BJ15" s="96"/>
      <c r="BK15" s="97"/>
      <c r="BL15" s="98"/>
      <c r="BM15" s="96"/>
      <c r="BN15" s="99"/>
      <c r="BO15" s="95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9"/>
      <c r="CG15" s="95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9"/>
      <c r="CY15" s="95"/>
      <c r="CZ15" s="96"/>
      <c r="DA15" s="97"/>
      <c r="DB15" s="98"/>
      <c r="DC15" s="96"/>
      <c r="DD15" s="97"/>
      <c r="DE15" s="98"/>
      <c r="DF15" s="96"/>
      <c r="DG15" s="99"/>
      <c r="DH15" s="95"/>
      <c r="DI15" s="96"/>
      <c r="DJ15" s="97"/>
      <c r="DK15" s="98"/>
      <c r="DL15" s="96"/>
      <c r="DM15" s="97"/>
      <c r="DN15" s="98"/>
      <c r="DO15" s="96"/>
      <c r="DP15" s="99"/>
      <c r="DQ15" s="95"/>
      <c r="DR15" s="96"/>
      <c r="DS15" s="97"/>
      <c r="DT15" s="98"/>
      <c r="DU15" s="96"/>
      <c r="DV15" s="97"/>
      <c r="DW15" s="98"/>
      <c r="DX15" s="96"/>
      <c r="DY15" s="99"/>
      <c r="DZ15" s="95"/>
      <c r="EA15" s="96"/>
      <c r="EB15" s="97"/>
      <c r="EC15" s="98"/>
      <c r="ED15" s="96"/>
      <c r="EE15" s="97"/>
      <c r="EF15" s="98"/>
      <c r="EG15" s="96"/>
      <c r="EH15" s="99"/>
      <c r="EI15" s="95"/>
      <c r="EJ15" s="96"/>
      <c r="EK15" s="97"/>
      <c r="EL15" s="98"/>
      <c r="EM15" s="96"/>
      <c r="EN15" s="97"/>
      <c r="EO15" s="98"/>
      <c r="EP15" s="96"/>
      <c r="EQ15" s="99"/>
      <c r="ER15" s="95"/>
      <c r="ES15" s="96"/>
      <c r="ET15" s="97"/>
      <c r="EU15" s="98"/>
      <c r="EV15" s="96"/>
      <c r="EW15" s="97"/>
      <c r="EX15" s="98"/>
      <c r="EY15" s="96"/>
      <c r="EZ15" s="99"/>
      <c r="FA15" s="95"/>
      <c r="FB15" s="96"/>
      <c r="FC15" s="97"/>
      <c r="FD15" s="98"/>
      <c r="FE15" s="96"/>
      <c r="FF15" s="97"/>
      <c r="FG15" s="98"/>
      <c r="FH15" s="96"/>
      <c r="FI15" s="99"/>
      <c r="FJ15" s="95"/>
      <c r="FK15" s="96"/>
      <c r="FL15" s="97"/>
      <c r="FM15" s="98"/>
      <c r="FN15" s="96"/>
      <c r="FO15" s="97"/>
      <c r="FP15" s="98"/>
      <c r="FQ15" s="96"/>
      <c r="FR15" s="99"/>
      <c r="FS15" s="95"/>
      <c r="FT15" s="96"/>
      <c r="FU15" s="97"/>
      <c r="FV15" s="98"/>
      <c r="FW15" s="96"/>
      <c r="FX15" s="97"/>
      <c r="FY15" s="98"/>
      <c r="FZ15" s="96"/>
      <c r="GA15" s="99"/>
    </row>
    <row r="16" spans="1:183" ht="19.5" customHeight="1" thickBot="1" x14ac:dyDescent="0.3">
      <c r="A16" s="108"/>
      <c r="B16" s="127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5"/>
      <c r="M16" s="101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04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  <c r="BX16" s="101"/>
      <c r="BY16" s="102"/>
      <c r="BZ16" s="103"/>
      <c r="CA16" s="104"/>
      <c r="CB16" s="102"/>
      <c r="CC16" s="103"/>
      <c r="CD16" s="104"/>
      <c r="CE16" s="102"/>
      <c r="CF16" s="105"/>
      <c r="CG16" s="101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5"/>
      <c r="CY16" s="101"/>
      <c r="CZ16" s="102"/>
      <c r="DA16" s="103"/>
      <c r="DB16" s="104"/>
      <c r="DC16" s="102"/>
      <c r="DD16" s="103"/>
      <c r="DE16" s="104"/>
      <c r="DF16" s="102"/>
      <c r="DG16" s="105"/>
      <c r="DH16" s="101"/>
      <c r="DI16" s="102"/>
      <c r="DJ16" s="103"/>
      <c r="DK16" s="104"/>
      <c r="DL16" s="102"/>
      <c r="DM16" s="103"/>
      <c r="DN16" s="104"/>
      <c r="DO16" s="102"/>
      <c r="DP16" s="105"/>
      <c r="DQ16" s="101"/>
      <c r="DR16" s="102"/>
      <c r="DS16" s="103"/>
      <c r="DT16" s="104"/>
      <c r="DU16" s="102"/>
      <c r="DV16" s="103"/>
      <c r="DW16" s="104"/>
      <c r="DX16" s="102"/>
      <c r="DY16" s="105"/>
      <c r="DZ16" s="101"/>
      <c r="EA16" s="102"/>
      <c r="EB16" s="103"/>
      <c r="EC16" s="104"/>
      <c r="ED16" s="102"/>
      <c r="EE16" s="103"/>
      <c r="EF16" s="104"/>
      <c r="EG16" s="102"/>
      <c r="EH16" s="105"/>
      <c r="EI16" s="101"/>
      <c r="EJ16" s="102"/>
      <c r="EK16" s="103"/>
      <c r="EL16" s="104"/>
      <c r="EM16" s="102"/>
      <c r="EN16" s="103"/>
      <c r="EO16" s="104"/>
      <c r="EP16" s="102"/>
      <c r="EQ16" s="105"/>
      <c r="ER16" s="101"/>
      <c r="ES16" s="102"/>
      <c r="ET16" s="103"/>
      <c r="EU16" s="104"/>
      <c r="EV16" s="102"/>
      <c r="EW16" s="103"/>
      <c r="EX16" s="104"/>
      <c r="EY16" s="102"/>
      <c r="EZ16" s="105"/>
      <c r="FA16" s="101"/>
      <c r="FB16" s="102"/>
      <c r="FC16" s="103"/>
      <c r="FD16" s="104"/>
      <c r="FE16" s="102"/>
      <c r="FF16" s="103"/>
      <c r="FG16" s="104"/>
      <c r="FH16" s="102"/>
      <c r="FI16" s="105"/>
      <c r="FJ16" s="101"/>
      <c r="FK16" s="102"/>
      <c r="FL16" s="103"/>
      <c r="FM16" s="104"/>
      <c r="FN16" s="102"/>
      <c r="FO16" s="103"/>
      <c r="FP16" s="104"/>
      <c r="FQ16" s="102"/>
      <c r="FR16" s="105"/>
      <c r="FS16" s="101"/>
      <c r="FT16" s="102"/>
      <c r="FU16" s="103"/>
      <c r="FV16" s="104"/>
      <c r="FW16" s="102"/>
      <c r="FX16" s="103"/>
      <c r="FY16" s="104"/>
      <c r="FZ16" s="102"/>
      <c r="GA16" s="105"/>
    </row>
    <row r="17" spans="2:183" ht="19.5" customHeight="1" x14ac:dyDescent="0.25">
      <c r="B17" s="126" t="str">
        <f>Donnees!$C$27</f>
        <v>Dévloppement CSS</v>
      </c>
      <c r="C17" s="106">
        <v>0</v>
      </c>
      <c r="D17" s="95"/>
      <c r="E17" s="96"/>
      <c r="F17" s="97"/>
      <c r="G17" s="98"/>
      <c r="H17" s="96"/>
      <c r="I17" s="97"/>
      <c r="J17" s="98"/>
      <c r="K17" s="96"/>
      <c r="L17" s="99"/>
      <c r="M17" s="95"/>
      <c r="N17" s="96"/>
      <c r="O17" s="97"/>
      <c r="P17" s="98"/>
      <c r="Q17" s="96"/>
      <c r="R17" s="97"/>
      <c r="S17" s="98"/>
      <c r="T17" s="96"/>
      <c r="U17" s="99"/>
      <c r="V17" s="95"/>
      <c r="W17" s="96"/>
      <c r="X17" s="97"/>
      <c r="Y17" s="98"/>
      <c r="Z17" s="96"/>
      <c r="AA17" s="97"/>
      <c r="AB17" s="98"/>
      <c r="AC17" s="96"/>
      <c r="AD17" s="99"/>
      <c r="AE17" s="95"/>
      <c r="AF17" s="96"/>
      <c r="AG17" s="97"/>
      <c r="AH17" s="98"/>
      <c r="AI17" s="96"/>
      <c r="AJ17" s="97"/>
      <c r="AK17" s="98"/>
      <c r="AL17" s="96"/>
      <c r="AM17" s="99"/>
      <c r="AN17" s="95"/>
      <c r="AO17" s="96"/>
      <c r="AP17" s="97"/>
      <c r="AQ17" s="98"/>
      <c r="AR17" s="96"/>
      <c r="AS17" s="97"/>
      <c r="AT17" s="98"/>
      <c r="AU17" s="96"/>
      <c r="AV17" s="99"/>
      <c r="AW17" s="95"/>
      <c r="AX17" s="96"/>
      <c r="AY17" s="97"/>
      <c r="AZ17" s="98"/>
      <c r="BA17" s="96"/>
      <c r="BB17" s="97"/>
      <c r="BC17" s="98"/>
      <c r="BD17" s="96"/>
      <c r="BE17" s="99"/>
      <c r="BF17" s="95"/>
      <c r="BG17" s="96"/>
      <c r="BH17" s="97"/>
      <c r="BI17" s="98"/>
      <c r="BJ17" s="96"/>
      <c r="BK17" s="97"/>
      <c r="BL17" s="98"/>
      <c r="BM17" s="96"/>
      <c r="BN17" s="99"/>
      <c r="BO17" s="95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9"/>
      <c r="CG17" s="95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9"/>
      <c r="CY17" s="95"/>
      <c r="CZ17" s="96"/>
      <c r="DA17" s="97"/>
      <c r="DB17" s="98"/>
      <c r="DC17" s="96"/>
      <c r="DD17" s="97"/>
      <c r="DE17" s="98"/>
      <c r="DF17" s="96"/>
      <c r="DG17" s="99"/>
      <c r="DH17" s="95"/>
      <c r="DI17" s="96"/>
      <c r="DJ17" s="97"/>
      <c r="DK17" s="98"/>
      <c r="DL17" s="96"/>
      <c r="DM17" s="97"/>
      <c r="DN17" s="98"/>
      <c r="DO17" s="96"/>
      <c r="DP17" s="99"/>
      <c r="DQ17" s="95"/>
      <c r="DR17" s="96"/>
      <c r="DS17" s="97"/>
      <c r="DT17" s="98"/>
      <c r="DU17" s="96"/>
      <c r="DV17" s="97"/>
      <c r="DW17" s="98"/>
      <c r="DX17" s="96"/>
      <c r="DY17" s="99"/>
      <c r="DZ17" s="95"/>
      <c r="EA17" s="96"/>
      <c r="EB17" s="97"/>
      <c r="EC17" s="98"/>
      <c r="ED17" s="96"/>
      <c r="EE17" s="97"/>
      <c r="EF17" s="98"/>
      <c r="EG17" s="96"/>
      <c r="EH17" s="99"/>
      <c r="EI17" s="95"/>
      <c r="EJ17" s="96"/>
      <c r="EK17" s="97"/>
      <c r="EL17" s="98"/>
      <c r="EM17" s="96"/>
      <c r="EN17" s="97"/>
      <c r="EO17" s="98"/>
      <c r="EP17" s="96"/>
      <c r="EQ17" s="99"/>
      <c r="ER17" s="95"/>
      <c r="ES17" s="96"/>
      <c r="ET17" s="97"/>
      <c r="EU17" s="98"/>
      <c r="EV17" s="96"/>
      <c r="EW17" s="97"/>
      <c r="EX17" s="98"/>
      <c r="EY17" s="96"/>
      <c r="EZ17" s="99"/>
      <c r="FA17" s="95"/>
      <c r="FB17" s="96"/>
      <c r="FC17" s="97"/>
      <c r="FD17" s="98"/>
      <c r="FE17" s="96"/>
      <c r="FF17" s="97"/>
      <c r="FG17" s="98"/>
      <c r="FH17" s="96"/>
      <c r="FI17" s="99"/>
      <c r="FJ17" s="95"/>
      <c r="FK17" s="96"/>
      <c r="FL17" s="97"/>
      <c r="FM17" s="98"/>
      <c r="FN17" s="96"/>
      <c r="FO17" s="97"/>
      <c r="FP17" s="98"/>
      <c r="FQ17" s="96"/>
      <c r="FR17" s="99"/>
      <c r="FS17" s="95"/>
      <c r="FT17" s="96"/>
      <c r="FU17" s="97"/>
      <c r="FV17" s="98"/>
      <c r="FW17" s="96"/>
      <c r="FX17" s="97"/>
      <c r="FY17" s="98"/>
      <c r="FZ17" s="96"/>
      <c r="GA17" s="99"/>
    </row>
    <row r="18" spans="2:183" ht="19.5" customHeight="1" thickBot="1" x14ac:dyDescent="0.3">
      <c r="B18" s="127"/>
      <c r="C18" s="107">
        <v>0</v>
      </c>
      <c r="D18" s="101"/>
      <c r="E18" s="102"/>
      <c r="F18" s="103"/>
      <c r="G18" s="104"/>
      <c r="H18" s="102"/>
      <c r="I18" s="103"/>
      <c r="J18" s="104"/>
      <c r="K18" s="102"/>
      <c r="L18" s="105"/>
      <c r="M18" s="101"/>
      <c r="N18" s="102"/>
      <c r="O18" s="103"/>
      <c r="P18" s="104"/>
      <c r="Q18" s="102"/>
      <c r="R18" s="103"/>
      <c r="S18" s="104"/>
      <c r="T18" s="102"/>
      <c r="U18" s="105"/>
      <c r="V18" s="101"/>
      <c r="W18" s="102"/>
      <c r="X18" s="103"/>
      <c r="Y18" s="104"/>
      <c r="Z18" s="102"/>
      <c r="AA18" s="103"/>
      <c r="AB18" s="104"/>
      <c r="AC18" s="102"/>
      <c r="AD18" s="105"/>
      <c r="AE18" s="101"/>
      <c r="AF18" s="102"/>
      <c r="AG18" s="103"/>
      <c r="AH18" s="104"/>
      <c r="AI18" s="102"/>
      <c r="AJ18" s="103"/>
      <c r="AK18" s="104"/>
      <c r="AL18" s="102"/>
      <c r="AM18" s="105"/>
      <c r="AN18" s="101"/>
      <c r="AO18" s="102"/>
      <c r="AP18" s="103"/>
      <c r="AQ18" s="104"/>
      <c r="AR18" s="102"/>
      <c r="AS18" s="103"/>
      <c r="AT18" s="104"/>
      <c r="AU18" s="102"/>
      <c r="AV18" s="105"/>
      <c r="AW18" s="101"/>
      <c r="AX18" s="102"/>
      <c r="AY18" s="103"/>
      <c r="AZ18" s="104"/>
      <c r="BA18" s="102"/>
      <c r="BB18" s="103"/>
      <c r="BC18" s="104"/>
      <c r="BD18" s="102"/>
      <c r="BE18" s="105"/>
      <c r="BF18" s="101"/>
      <c r="BG18" s="102"/>
      <c r="BH18" s="103"/>
      <c r="BI18" s="104"/>
      <c r="BJ18" s="102"/>
      <c r="BK18" s="103"/>
      <c r="BL18" s="104"/>
      <c r="BM18" s="102"/>
      <c r="BN18" s="105"/>
      <c r="BO18" s="101"/>
      <c r="BP18" s="102"/>
      <c r="BQ18" s="103"/>
      <c r="BR18" s="104"/>
      <c r="BS18" s="102"/>
      <c r="BT18" s="103"/>
      <c r="BU18" s="104"/>
      <c r="BV18" s="102"/>
      <c r="BW18" s="105"/>
      <c r="BX18" s="101"/>
      <c r="BY18" s="102"/>
      <c r="BZ18" s="103"/>
      <c r="CA18" s="104"/>
      <c r="CB18" s="102"/>
      <c r="CC18" s="103"/>
      <c r="CD18" s="104"/>
      <c r="CE18" s="102"/>
      <c r="CF18" s="105"/>
      <c r="CG18" s="101"/>
      <c r="CH18" s="102"/>
      <c r="CI18" s="103"/>
      <c r="CJ18" s="104"/>
      <c r="CK18" s="102"/>
      <c r="CL18" s="103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5"/>
      <c r="CY18" s="101"/>
      <c r="CZ18" s="102"/>
      <c r="DA18" s="103"/>
      <c r="DB18" s="104"/>
      <c r="DC18" s="102"/>
      <c r="DD18" s="103"/>
      <c r="DE18" s="104"/>
      <c r="DF18" s="102"/>
      <c r="DG18" s="105"/>
      <c r="DH18" s="101"/>
      <c r="DI18" s="102"/>
      <c r="DJ18" s="103"/>
      <c r="DK18" s="104"/>
      <c r="DL18" s="102"/>
      <c r="DM18" s="103"/>
      <c r="DN18" s="104"/>
      <c r="DO18" s="102"/>
      <c r="DP18" s="105"/>
      <c r="DQ18" s="101"/>
      <c r="DR18" s="102"/>
      <c r="DS18" s="103"/>
      <c r="DT18" s="104"/>
      <c r="DU18" s="102"/>
      <c r="DV18" s="103"/>
      <c r="DW18" s="104"/>
      <c r="DX18" s="102"/>
      <c r="DY18" s="105"/>
      <c r="DZ18" s="101"/>
      <c r="EA18" s="102"/>
      <c r="EB18" s="103"/>
      <c r="EC18" s="104"/>
      <c r="ED18" s="102"/>
      <c r="EE18" s="103"/>
      <c r="EF18" s="104"/>
      <c r="EG18" s="102"/>
      <c r="EH18" s="105"/>
      <c r="EI18" s="101"/>
      <c r="EJ18" s="102"/>
      <c r="EK18" s="103"/>
      <c r="EL18" s="104"/>
      <c r="EM18" s="102"/>
      <c r="EN18" s="103"/>
      <c r="EO18" s="104"/>
      <c r="EP18" s="102"/>
      <c r="EQ18" s="105"/>
      <c r="ER18" s="101"/>
      <c r="ES18" s="102"/>
      <c r="ET18" s="103"/>
      <c r="EU18" s="104"/>
      <c r="EV18" s="102"/>
      <c r="EW18" s="103"/>
      <c r="EX18" s="104"/>
      <c r="EY18" s="102"/>
      <c r="EZ18" s="105"/>
      <c r="FA18" s="101"/>
      <c r="FB18" s="102"/>
      <c r="FC18" s="103"/>
      <c r="FD18" s="104"/>
      <c r="FE18" s="102"/>
      <c r="FF18" s="103"/>
      <c r="FG18" s="104"/>
      <c r="FH18" s="102"/>
      <c r="FI18" s="105"/>
      <c r="FJ18" s="101"/>
      <c r="FK18" s="102"/>
      <c r="FL18" s="103"/>
      <c r="FM18" s="104"/>
      <c r="FN18" s="102"/>
      <c r="FO18" s="103"/>
      <c r="FP18" s="104"/>
      <c r="FQ18" s="102"/>
      <c r="FR18" s="105"/>
      <c r="FS18" s="101"/>
      <c r="FT18" s="102"/>
      <c r="FU18" s="103"/>
      <c r="FV18" s="104"/>
      <c r="FW18" s="102"/>
      <c r="FX18" s="103"/>
      <c r="FY18" s="104"/>
      <c r="FZ18" s="102"/>
      <c r="GA18" s="105"/>
    </row>
    <row r="19" spans="2:183" ht="19.5" customHeight="1" x14ac:dyDescent="0.25">
      <c r="B19" s="126" t="str">
        <f>Donnees!$C$28</f>
        <v>Création architecture</v>
      </c>
      <c r="C19" s="106">
        <v>0</v>
      </c>
      <c r="D19" s="95"/>
      <c r="E19" s="96"/>
      <c r="F19" s="97"/>
      <c r="G19" s="98"/>
      <c r="H19" s="96"/>
      <c r="I19" s="97"/>
      <c r="J19" s="98"/>
      <c r="K19" s="96"/>
      <c r="L19" s="99"/>
      <c r="M19" s="95"/>
      <c r="N19" s="96"/>
      <c r="O19" s="97"/>
      <c r="P19" s="98"/>
      <c r="Q19" s="96"/>
      <c r="R19" s="97"/>
      <c r="S19" s="98"/>
      <c r="T19" s="96"/>
      <c r="U19" s="99"/>
      <c r="V19" s="95"/>
      <c r="W19" s="96"/>
      <c r="X19" s="97"/>
      <c r="Y19" s="98"/>
      <c r="Z19" s="96"/>
      <c r="AA19" s="97"/>
      <c r="AB19" s="98"/>
      <c r="AC19" s="96"/>
      <c r="AD19" s="99"/>
      <c r="AE19" s="95"/>
      <c r="AF19" s="96"/>
      <c r="AG19" s="97"/>
      <c r="AH19" s="98"/>
      <c r="AI19" s="96"/>
      <c r="AJ19" s="97"/>
      <c r="AK19" s="98"/>
      <c r="AL19" s="96"/>
      <c r="AM19" s="99"/>
      <c r="AN19" s="95"/>
      <c r="AO19" s="96"/>
      <c r="AP19" s="97"/>
      <c r="AQ19" s="98"/>
      <c r="AR19" s="96"/>
      <c r="AS19" s="97"/>
      <c r="AT19" s="98"/>
      <c r="AU19" s="96"/>
      <c r="AV19" s="99"/>
      <c r="AW19" s="95"/>
      <c r="AX19" s="96"/>
      <c r="AY19" s="97"/>
      <c r="AZ19" s="98"/>
      <c r="BA19" s="96"/>
      <c r="BB19" s="97"/>
      <c r="BC19" s="98"/>
      <c r="BD19" s="96"/>
      <c r="BE19" s="99"/>
      <c r="BF19" s="95"/>
      <c r="BG19" s="96"/>
      <c r="BH19" s="97"/>
      <c r="BI19" s="98"/>
      <c r="BJ19" s="96"/>
      <c r="BK19" s="97"/>
      <c r="BL19" s="98"/>
      <c r="BM19" s="96"/>
      <c r="BN19" s="99"/>
      <c r="BO19" s="95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9"/>
      <c r="CG19" s="95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9"/>
      <c r="CY19" s="95"/>
      <c r="CZ19" s="96"/>
      <c r="DA19" s="97"/>
      <c r="DB19" s="98"/>
      <c r="DC19" s="96"/>
      <c r="DD19" s="97"/>
      <c r="DE19" s="98"/>
      <c r="DF19" s="96"/>
      <c r="DG19" s="99"/>
      <c r="DH19" s="95"/>
      <c r="DI19" s="96"/>
      <c r="DJ19" s="97"/>
      <c r="DK19" s="98"/>
      <c r="DL19" s="96"/>
      <c r="DM19" s="97"/>
      <c r="DN19" s="98"/>
      <c r="DO19" s="96"/>
      <c r="DP19" s="99"/>
      <c r="DQ19" s="95"/>
      <c r="DR19" s="96"/>
      <c r="DS19" s="97"/>
      <c r="DT19" s="98"/>
      <c r="DU19" s="96"/>
      <c r="DV19" s="97"/>
      <c r="DW19" s="98"/>
      <c r="DX19" s="96"/>
      <c r="DY19" s="99"/>
      <c r="DZ19" s="95"/>
      <c r="EA19" s="96"/>
      <c r="EB19" s="97"/>
      <c r="EC19" s="98"/>
      <c r="ED19" s="96"/>
      <c r="EE19" s="97"/>
      <c r="EF19" s="98"/>
      <c r="EG19" s="96"/>
      <c r="EH19" s="99"/>
      <c r="EI19" s="95"/>
      <c r="EJ19" s="96"/>
      <c r="EK19" s="97"/>
      <c r="EL19" s="98"/>
      <c r="EM19" s="96"/>
      <c r="EN19" s="97"/>
      <c r="EO19" s="98"/>
      <c r="EP19" s="96"/>
      <c r="EQ19" s="99"/>
      <c r="ER19" s="95"/>
      <c r="ES19" s="96"/>
      <c r="ET19" s="97"/>
      <c r="EU19" s="98"/>
      <c r="EV19" s="96"/>
      <c r="EW19" s="97"/>
      <c r="EX19" s="98"/>
      <c r="EY19" s="96"/>
      <c r="EZ19" s="99"/>
      <c r="FA19" s="95"/>
      <c r="FB19" s="96"/>
      <c r="FC19" s="97"/>
      <c r="FD19" s="98"/>
      <c r="FE19" s="96"/>
      <c r="FF19" s="97"/>
      <c r="FG19" s="98"/>
      <c r="FH19" s="96"/>
      <c r="FI19" s="99"/>
      <c r="FJ19" s="95"/>
      <c r="FK19" s="96"/>
      <c r="FL19" s="97"/>
      <c r="FM19" s="98"/>
      <c r="FN19" s="96"/>
      <c r="FO19" s="97"/>
      <c r="FP19" s="98"/>
      <c r="FQ19" s="96"/>
      <c r="FR19" s="99"/>
      <c r="FS19" s="95"/>
      <c r="FT19" s="96"/>
      <c r="FU19" s="97"/>
      <c r="FV19" s="98"/>
      <c r="FW19" s="96"/>
      <c r="FX19" s="97"/>
      <c r="FY19" s="98"/>
      <c r="FZ19" s="96"/>
      <c r="GA19" s="99"/>
    </row>
    <row r="20" spans="2:183" ht="19.5" customHeight="1" x14ac:dyDescent="0.25">
      <c r="B20" s="127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5"/>
      <c r="M20" s="101"/>
      <c r="N20" s="102"/>
      <c r="O20" s="103"/>
      <c r="P20" s="104"/>
      <c r="Q20" s="102"/>
      <c r="R20" s="103"/>
      <c r="S20" s="104"/>
      <c r="T20" s="102"/>
      <c r="U20" s="105"/>
      <c r="V20" s="101"/>
      <c r="W20" s="102"/>
      <c r="X20" s="103"/>
      <c r="Y20" s="104"/>
      <c r="Z20" s="102"/>
      <c r="AA20" s="103"/>
      <c r="AB20" s="104"/>
      <c r="AC20" s="102"/>
      <c r="AD20" s="105"/>
      <c r="AE20" s="101"/>
      <c r="AF20" s="102"/>
      <c r="AG20" s="103"/>
      <c r="AH20" s="104"/>
      <c r="AI20" s="102"/>
      <c r="AJ20" s="103"/>
      <c r="AK20" s="104"/>
      <c r="AL20" s="102"/>
      <c r="AM20" s="105"/>
      <c r="AN20" s="101"/>
      <c r="AO20" s="102"/>
      <c r="AP20" s="103"/>
      <c r="AQ20" s="104"/>
      <c r="AR20" s="102"/>
      <c r="AS20" s="103"/>
      <c r="AT20" s="104"/>
      <c r="AU20" s="102"/>
      <c r="AV20" s="105"/>
      <c r="AW20" s="101"/>
      <c r="AX20" s="102"/>
      <c r="AY20" s="103"/>
      <c r="AZ20" s="104"/>
      <c r="BA20" s="102"/>
      <c r="BB20" s="103"/>
      <c r="BC20" s="104"/>
      <c r="BD20" s="102"/>
      <c r="BE20" s="105"/>
      <c r="BF20" s="101"/>
      <c r="BG20" s="102"/>
      <c r="BH20" s="103"/>
      <c r="BI20" s="104"/>
      <c r="BJ20" s="102"/>
      <c r="BK20" s="103"/>
      <c r="BL20" s="104"/>
      <c r="BM20" s="102"/>
      <c r="BN20" s="105"/>
      <c r="BO20" s="101"/>
      <c r="BP20" s="102"/>
      <c r="BQ20" s="103"/>
      <c r="BR20" s="104"/>
      <c r="BS20" s="102"/>
      <c r="BT20" s="103"/>
      <c r="BU20" s="104"/>
      <c r="BV20" s="102"/>
      <c r="BW20" s="105"/>
      <c r="BX20" s="101"/>
      <c r="BY20" s="102"/>
      <c r="BZ20" s="103"/>
      <c r="CA20" s="104"/>
      <c r="CB20" s="102"/>
      <c r="CC20" s="103"/>
      <c r="CD20" s="104"/>
      <c r="CE20" s="102"/>
      <c r="CF20" s="105"/>
      <c r="CG20" s="101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5"/>
      <c r="CY20" s="101"/>
      <c r="CZ20" s="102"/>
      <c r="DA20" s="103"/>
      <c r="DB20" s="104"/>
      <c r="DC20" s="102"/>
      <c r="DD20" s="103"/>
      <c r="DE20" s="104"/>
      <c r="DF20" s="102"/>
      <c r="DG20" s="105"/>
      <c r="DH20" s="101"/>
      <c r="DI20" s="102"/>
      <c r="DJ20" s="103"/>
      <c r="DK20" s="104"/>
      <c r="DL20" s="102"/>
      <c r="DM20" s="103"/>
      <c r="DN20" s="104"/>
      <c r="DO20" s="102"/>
      <c r="DP20" s="105"/>
      <c r="DQ20" s="101"/>
      <c r="DR20" s="102"/>
      <c r="DS20" s="103"/>
      <c r="DT20" s="104"/>
      <c r="DU20" s="102"/>
      <c r="DV20" s="103"/>
      <c r="DW20" s="104"/>
      <c r="DX20" s="102"/>
      <c r="DY20" s="105"/>
      <c r="DZ20" s="101"/>
      <c r="EA20" s="102"/>
      <c r="EB20" s="103"/>
      <c r="EC20" s="104"/>
      <c r="ED20" s="102"/>
      <c r="EE20" s="103"/>
      <c r="EF20" s="104"/>
      <c r="EG20" s="102"/>
      <c r="EH20" s="105"/>
      <c r="EI20" s="101"/>
      <c r="EJ20" s="102"/>
      <c r="EK20" s="103"/>
      <c r="EL20" s="104"/>
      <c r="EM20" s="102"/>
      <c r="EN20" s="103"/>
      <c r="EO20" s="104"/>
      <c r="EP20" s="102"/>
      <c r="EQ20" s="105"/>
      <c r="ER20" s="101"/>
      <c r="ES20" s="102"/>
      <c r="ET20" s="103"/>
      <c r="EU20" s="104"/>
      <c r="EV20" s="102"/>
      <c r="EW20" s="103"/>
      <c r="EX20" s="104"/>
      <c r="EY20" s="102"/>
      <c r="EZ20" s="105"/>
      <c r="FA20" s="101"/>
      <c r="FB20" s="102"/>
      <c r="FC20" s="103"/>
      <c r="FD20" s="104"/>
      <c r="FE20" s="102"/>
      <c r="FF20" s="103"/>
      <c r="FG20" s="104"/>
      <c r="FH20" s="102"/>
      <c r="FI20" s="105"/>
      <c r="FJ20" s="101"/>
      <c r="FK20" s="102"/>
      <c r="FL20" s="103"/>
      <c r="FM20" s="104"/>
      <c r="FN20" s="102"/>
      <c r="FO20" s="103"/>
      <c r="FP20" s="104"/>
      <c r="FQ20" s="102"/>
      <c r="FR20" s="105"/>
      <c r="FS20" s="101"/>
      <c r="FT20" s="102"/>
      <c r="FU20" s="103"/>
      <c r="FV20" s="104"/>
      <c r="FW20" s="102"/>
      <c r="FX20" s="103"/>
      <c r="FY20" s="104"/>
      <c r="FZ20" s="102"/>
      <c r="GA20" s="105"/>
    </row>
    <row r="21" spans="2:183" ht="19.5" customHeight="1" x14ac:dyDescent="0.25">
      <c r="B21" s="109" t="s">
        <v>24</v>
      </c>
      <c r="C21" s="110">
        <f>SUM($C$3,$C$5,$C$7,$C$9,$C$11,$C$13,$C$15,$C$17,$C$19)</f>
        <v>0</v>
      </c>
      <c r="D21" s="111"/>
      <c r="E21" s="112"/>
      <c r="F21" s="112"/>
      <c r="G21" s="112"/>
      <c r="H21" s="112"/>
      <c r="I21" s="112"/>
      <c r="J21" s="112"/>
      <c r="K21" s="112"/>
      <c r="L21" s="113"/>
      <c r="M21" s="111"/>
      <c r="N21" s="112"/>
      <c r="O21" s="112"/>
      <c r="P21" s="112"/>
      <c r="Q21" s="112"/>
      <c r="R21" s="112"/>
      <c r="S21" s="112"/>
      <c r="T21" s="112"/>
      <c r="U21" s="113"/>
      <c r="V21" s="111"/>
      <c r="W21" s="112"/>
      <c r="X21" s="112"/>
      <c r="Y21" s="112"/>
      <c r="Z21" s="112"/>
      <c r="AA21" s="112"/>
      <c r="AB21" s="112"/>
      <c r="AC21" s="112"/>
      <c r="AD21" s="113"/>
      <c r="AE21" s="111"/>
      <c r="AF21" s="112"/>
      <c r="AG21" s="112"/>
      <c r="AH21" s="112"/>
      <c r="AI21" s="112"/>
      <c r="AJ21" s="112"/>
      <c r="AK21" s="112"/>
      <c r="AL21" s="112"/>
      <c r="AM21" s="113"/>
      <c r="AN21" s="111"/>
      <c r="AO21" s="112"/>
      <c r="AP21" s="112"/>
      <c r="AQ21" s="112"/>
      <c r="AR21" s="112"/>
      <c r="AS21" s="112"/>
      <c r="AT21" s="112"/>
      <c r="AU21" s="112"/>
      <c r="AV21" s="113"/>
      <c r="AW21" s="111"/>
      <c r="AX21" s="112"/>
      <c r="AY21" s="112"/>
      <c r="AZ21" s="112"/>
      <c r="BA21" s="112"/>
      <c r="BB21" s="112"/>
      <c r="BC21" s="112"/>
      <c r="BD21" s="112"/>
      <c r="BE21" s="113"/>
      <c r="BF21" s="111"/>
      <c r="BG21" s="112"/>
      <c r="BH21" s="112"/>
      <c r="BI21" s="112"/>
      <c r="BJ21" s="112"/>
      <c r="BK21" s="112"/>
      <c r="BL21" s="112"/>
      <c r="BM21" s="112"/>
      <c r="BN21" s="113"/>
      <c r="BO21" s="111"/>
      <c r="BP21" s="112"/>
      <c r="BQ21" s="112"/>
      <c r="BR21" s="112"/>
      <c r="BS21" s="112"/>
      <c r="BT21" s="112"/>
      <c r="BU21" s="112"/>
      <c r="BV21" s="112"/>
      <c r="BW21" s="113"/>
      <c r="BX21" s="111"/>
      <c r="BY21" s="112"/>
      <c r="BZ21" s="112"/>
      <c r="CA21" s="112"/>
      <c r="CB21" s="112"/>
      <c r="CC21" s="112"/>
      <c r="CD21" s="112"/>
      <c r="CE21" s="112"/>
      <c r="CF21" s="113"/>
      <c r="CG21" s="111"/>
      <c r="CH21" s="112"/>
      <c r="CI21" s="112"/>
      <c r="CJ21" s="112"/>
      <c r="CK21" s="112"/>
      <c r="CL21" s="112"/>
      <c r="CM21" s="112"/>
      <c r="CN21" s="112"/>
      <c r="CO21" s="113"/>
      <c r="CP21" s="111"/>
      <c r="CQ21" s="112"/>
      <c r="CR21" s="112"/>
      <c r="CS21" s="112"/>
      <c r="CT21" s="112"/>
      <c r="CU21" s="112"/>
      <c r="CV21" s="112"/>
      <c r="CW21" s="112"/>
      <c r="CX21" s="113"/>
      <c r="CY21" s="111"/>
      <c r="CZ21" s="112"/>
      <c r="DA21" s="112"/>
      <c r="DB21" s="112"/>
      <c r="DC21" s="112"/>
      <c r="DD21" s="112"/>
      <c r="DE21" s="112"/>
      <c r="DF21" s="112"/>
      <c r="DG21" s="113"/>
      <c r="DH21" s="111"/>
      <c r="DI21" s="112"/>
      <c r="DJ21" s="112"/>
      <c r="DK21" s="112"/>
      <c r="DL21" s="112"/>
      <c r="DM21" s="112"/>
      <c r="DN21" s="112"/>
      <c r="DO21" s="112"/>
      <c r="DP21" s="113"/>
      <c r="DQ21" s="111"/>
      <c r="DR21" s="112"/>
      <c r="DS21" s="112"/>
      <c r="DT21" s="112"/>
      <c r="DU21" s="112"/>
      <c r="DV21" s="112"/>
      <c r="DW21" s="112"/>
      <c r="DX21" s="112"/>
      <c r="DY21" s="113"/>
      <c r="DZ21" s="111"/>
      <c r="EA21" s="112"/>
      <c r="EB21" s="112"/>
      <c r="EC21" s="112"/>
      <c r="ED21" s="112"/>
      <c r="EE21" s="112"/>
      <c r="EF21" s="112"/>
      <c r="EG21" s="112"/>
      <c r="EH21" s="113"/>
      <c r="EI21" s="111"/>
      <c r="EJ21" s="112"/>
      <c r="EK21" s="112"/>
      <c r="EL21" s="112"/>
      <c r="EM21" s="112"/>
      <c r="EN21" s="112"/>
      <c r="EO21" s="112"/>
      <c r="EP21" s="112"/>
      <c r="EQ21" s="113"/>
      <c r="ER21" s="111"/>
      <c r="ES21" s="112"/>
      <c r="ET21" s="112"/>
      <c r="EU21" s="112"/>
      <c r="EV21" s="112"/>
      <c r="EW21" s="112"/>
      <c r="EX21" s="112"/>
      <c r="EY21" s="112"/>
      <c r="EZ21" s="113"/>
      <c r="FA21" s="111"/>
      <c r="FB21" s="112"/>
      <c r="FC21" s="112"/>
      <c r="FD21" s="112"/>
      <c r="FE21" s="112"/>
      <c r="FF21" s="112"/>
      <c r="FG21" s="112"/>
      <c r="FH21" s="112"/>
      <c r="FI21" s="113"/>
      <c r="FJ21" s="111"/>
      <c r="FK21" s="112"/>
      <c r="FL21" s="112"/>
      <c r="FM21" s="112"/>
      <c r="FN21" s="112"/>
      <c r="FO21" s="112"/>
      <c r="FP21" s="112"/>
      <c r="FQ21" s="112"/>
      <c r="FR21" s="113"/>
      <c r="FS21" s="111"/>
      <c r="FT21" s="112"/>
      <c r="FU21" s="112"/>
      <c r="FV21" s="112"/>
      <c r="FW21" s="112"/>
      <c r="FX21" s="112"/>
      <c r="FY21" s="112"/>
      <c r="FZ21" s="112"/>
      <c r="GA21" s="113"/>
    </row>
    <row r="22" spans="2:183" ht="19.5" customHeight="1" thickBot="1" x14ac:dyDescent="0.3">
      <c r="B22" s="114" t="s">
        <v>25</v>
      </c>
      <c r="C22" s="115">
        <f>SUM($C$4,$C$6,$C$8,$C$10,$C$12,$C$14,$C$16,$C$18,$C$20)</f>
        <v>0</v>
      </c>
      <c r="D22" s="116"/>
      <c r="E22" s="117"/>
      <c r="F22" s="117"/>
      <c r="G22" s="117"/>
      <c r="H22" s="117"/>
      <c r="I22" s="117"/>
      <c r="J22" s="117"/>
      <c r="K22" s="117"/>
      <c r="L22" s="118"/>
      <c r="M22" s="116"/>
      <c r="N22" s="117"/>
      <c r="O22" s="117"/>
      <c r="P22" s="117"/>
      <c r="Q22" s="117"/>
      <c r="R22" s="117"/>
      <c r="S22" s="117"/>
      <c r="T22" s="117"/>
      <c r="U22" s="118"/>
      <c r="V22" s="116"/>
      <c r="W22" s="117"/>
      <c r="X22" s="117"/>
      <c r="Y22" s="117"/>
      <c r="Z22" s="117"/>
      <c r="AA22" s="117"/>
      <c r="AB22" s="117"/>
      <c r="AC22" s="117"/>
      <c r="AD22" s="118"/>
      <c r="AE22" s="116"/>
      <c r="AF22" s="117"/>
      <c r="AG22" s="117"/>
      <c r="AH22" s="117"/>
      <c r="AI22" s="117"/>
      <c r="AJ22" s="117"/>
      <c r="AK22" s="117"/>
      <c r="AL22" s="117"/>
      <c r="AM22" s="118"/>
      <c r="AN22" s="116"/>
      <c r="AO22" s="117"/>
      <c r="AP22" s="117"/>
      <c r="AQ22" s="117"/>
      <c r="AR22" s="117"/>
      <c r="AS22" s="117"/>
      <c r="AT22" s="117"/>
      <c r="AU22" s="117"/>
      <c r="AV22" s="118"/>
      <c r="AW22" s="116"/>
      <c r="AX22" s="117"/>
      <c r="AY22" s="117"/>
      <c r="AZ22" s="117"/>
      <c r="BA22" s="117"/>
      <c r="BB22" s="117"/>
      <c r="BC22" s="117"/>
      <c r="BD22" s="117"/>
      <c r="BE22" s="118"/>
      <c r="BF22" s="116"/>
      <c r="BG22" s="117"/>
      <c r="BH22" s="117"/>
      <c r="BI22" s="117"/>
      <c r="BJ22" s="117"/>
      <c r="BK22" s="117"/>
      <c r="BL22" s="117"/>
      <c r="BM22" s="117"/>
      <c r="BN22" s="118"/>
      <c r="BO22" s="116"/>
      <c r="BP22" s="117"/>
      <c r="BQ22" s="117"/>
      <c r="BR22" s="117"/>
      <c r="BS22" s="117"/>
      <c r="BT22" s="117"/>
      <c r="BU22" s="117"/>
      <c r="BV22" s="117"/>
      <c r="BW22" s="118"/>
      <c r="BX22" s="116"/>
      <c r="BY22" s="117"/>
      <c r="BZ22" s="117"/>
      <c r="CA22" s="117"/>
      <c r="CB22" s="117"/>
      <c r="CC22" s="117"/>
      <c r="CD22" s="117"/>
      <c r="CE22" s="117"/>
      <c r="CF22" s="118"/>
      <c r="CG22" s="116"/>
      <c r="CH22" s="117"/>
      <c r="CI22" s="117"/>
      <c r="CJ22" s="117"/>
      <c r="CK22" s="117"/>
      <c r="CL22" s="117"/>
      <c r="CM22" s="117"/>
      <c r="CN22" s="117"/>
      <c r="CO22" s="118"/>
      <c r="CP22" s="116"/>
      <c r="CQ22" s="117"/>
      <c r="CR22" s="117"/>
      <c r="CS22" s="117"/>
      <c r="CT22" s="117"/>
      <c r="CU22" s="117"/>
      <c r="CV22" s="117"/>
      <c r="CW22" s="117"/>
      <c r="CX22" s="118"/>
      <c r="CY22" s="116"/>
      <c r="CZ22" s="117"/>
      <c r="DA22" s="117"/>
      <c r="DB22" s="117"/>
      <c r="DC22" s="117"/>
      <c r="DD22" s="117"/>
      <c r="DE22" s="117"/>
      <c r="DF22" s="117"/>
      <c r="DG22" s="118"/>
      <c r="DH22" s="116"/>
      <c r="DI22" s="117"/>
      <c r="DJ22" s="117"/>
      <c r="DK22" s="117"/>
      <c r="DL22" s="117"/>
      <c r="DM22" s="117"/>
      <c r="DN22" s="117"/>
      <c r="DO22" s="117"/>
      <c r="DP22" s="118"/>
      <c r="DQ22" s="116"/>
      <c r="DR22" s="117"/>
      <c r="DS22" s="117"/>
      <c r="DT22" s="117"/>
      <c r="DU22" s="117"/>
      <c r="DV22" s="117"/>
      <c r="DW22" s="117"/>
      <c r="DX22" s="117"/>
      <c r="DY22" s="118"/>
      <c r="DZ22" s="116"/>
      <c r="EA22" s="117"/>
      <c r="EB22" s="117"/>
      <c r="EC22" s="117"/>
      <c r="ED22" s="117"/>
      <c r="EE22" s="117"/>
      <c r="EF22" s="117"/>
      <c r="EG22" s="117"/>
      <c r="EH22" s="118"/>
      <c r="EI22" s="116"/>
      <c r="EJ22" s="117"/>
      <c r="EK22" s="117"/>
      <c r="EL22" s="117"/>
      <c r="EM22" s="117"/>
      <c r="EN22" s="117"/>
      <c r="EO22" s="117"/>
      <c r="EP22" s="117"/>
      <c r="EQ22" s="118"/>
      <c r="ER22" s="116"/>
      <c r="ES22" s="117"/>
      <c r="ET22" s="117"/>
      <c r="EU22" s="117"/>
      <c r="EV22" s="117"/>
      <c r="EW22" s="117"/>
      <c r="EX22" s="117"/>
      <c r="EY22" s="117"/>
      <c r="EZ22" s="118"/>
      <c r="FA22" s="116"/>
      <c r="FB22" s="117"/>
      <c r="FC22" s="117"/>
      <c r="FD22" s="117"/>
      <c r="FE22" s="117"/>
      <c r="FF22" s="117"/>
      <c r="FG22" s="117"/>
      <c r="FH22" s="117"/>
      <c r="FI22" s="118"/>
      <c r="FJ22" s="116"/>
      <c r="FK22" s="117"/>
      <c r="FL22" s="117"/>
      <c r="FM22" s="117"/>
      <c r="FN22" s="117"/>
      <c r="FO22" s="117"/>
      <c r="FP22" s="117"/>
      <c r="FQ22" s="117"/>
      <c r="FR22" s="118"/>
      <c r="FS22" s="116"/>
      <c r="FT22" s="117"/>
      <c r="FU22" s="117"/>
      <c r="FV22" s="117"/>
      <c r="FW22" s="117"/>
      <c r="FX22" s="117"/>
      <c r="FY22" s="117"/>
      <c r="FZ22" s="117"/>
      <c r="GA22" s="118"/>
    </row>
  </sheetData>
  <sheetProtection sheet="1" objects="1" scenarios="1" insertRows="0" selectLockedCells="1"/>
  <mergeCells count="29">
    <mergeCell ref="V2:AD2"/>
    <mergeCell ref="B3:B4"/>
    <mergeCell ref="B5:B6"/>
    <mergeCell ref="B7:B8"/>
    <mergeCell ref="B9:B10"/>
    <mergeCell ref="B15:B16"/>
    <mergeCell ref="B17:B18"/>
    <mergeCell ref="B19:B20"/>
    <mergeCell ref="D2:L2"/>
    <mergeCell ref="M2:U2"/>
    <mergeCell ref="B11:B12"/>
    <mergeCell ref="B13:B14"/>
    <mergeCell ref="DZ2:EH2"/>
    <mergeCell ref="AE2:AM2"/>
    <mergeCell ref="AN2:AV2"/>
    <mergeCell ref="AW2:BE2"/>
    <mergeCell ref="BF2:BN2"/>
    <mergeCell ref="BO2:BW2"/>
    <mergeCell ref="BX2:CF2"/>
    <mergeCell ref="CG2:CO2"/>
    <mergeCell ref="CP2:CX2"/>
    <mergeCell ref="CY2:DG2"/>
    <mergeCell ref="DH2:DP2"/>
    <mergeCell ref="DQ2:DY2"/>
    <mergeCell ref="EI2:EQ2"/>
    <mergeCell ref="ER2:EZ2"/>
    <mergeCell ref="FA2:FI2"/>
    <mergeCell ref="FJ2:FR2"/>
    <mergeCell ref="FS2:G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1" t="s">
        <v>23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24</v>
      </c>
      <c r="C3" s="27">
        <v>0</v>
      </c>
    </row>
    <row r="4" spans="2:3" ht="18.75" thickBot="1" x14ac:dyDescent="0.3">
      <c r="B4" s="26" t="s">
        <v>25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/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281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86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26</v>
      </c>
      <c r="B15" s="7">
        <v>2</v>
      </c>
      <c r="C15" s="17"/>
      <c r="D15" s="85"/>
    </row>
    <row r="16" spans="1:4" ht="27.75" thickBot="1" x14ac:dyDescent="0.3">
      <c r="A16" s="8" t="s">
        <v>27</v>
      </c>
      <c r="B16" s="18" t="s">
        <v>28</v>
      </c>
      <c r="C16" s="8" t="s">
        <v>29</v>
      </c>
      <c r="D16" s="8" t="s">
        <v>30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31</v>
      </c>
      <c r="B27" s="12">
        <f>SUM(B17:B26)</f>
        <v>0</v>
      </c>
      <c r="C27" s="86" t="s">
        <v>38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26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27</v>
      </c>
      <c r="B30" s="18" t="s">
        <v>28</v>
      </c>
      <c r="C30" s="8" t="s">
        <v>29</v>
      </c>
      <c r="D30" s="8" t="s">
        <v>30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31</v>
      </c>
      <c r="B41" s="12">
        <f>SUM(B31:B40)</f>
        <v>0</v>
      </c>
      <c r="C41" s="86" t="s">
        <v>38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26</v>
      </c>
      <c r="B43" s="7">
        <v>4</v>
      </c>
      <c r="C43" s="17"/>
      <c r="D43" s="85"/>
    </row>
    <row r="44" spans="1:4" ht="27.75" thickBot="1" x14ac:dyDescent="0.3">
      <c r="A44" s="8" t="s">
        <v>27</v>
      </c>
      <c r="B44" s="18" t="s">
        <v>28</v>
      </c>
      <c r="C44" s="8" t="s">
        <v>29</v>
      </c>
      <c r="D44" s="8" t="s">
        <v>30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31</v>
      </c>
      <c r="B55" s="12">
        <f>SUM(B45:B54)</f>
        <v>0</v>
      </c>
      <c r="C55" s="86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26</v>
      </c>
      <c r="B57" s="7">
        <v>5</v>
      </c>
      <c r="C57" s="17"/>
      <c r="D57" s="85"/>
    </row>
    <row r="58" spans="1:4" ht="27.75" thickBot="1" x14ac:dyDescent="0.3">
      <c r="A58" s="8" t="s">
        <v>27</v>
      </c>
      <c r="B58" s="18" t="s">
        <v>28</v>
      </c>
      <c r="C58" s="8" t="s">
        <v>29</v>
      </c>
      <c r="D58" s="8" t="s">
        <v>30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31</v>
      </c>
      <c r="B69" s="12">
        <f>SUM(B59:B68)</f>
        <v>0</v>
      </c>
      <c r="C69" s="86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26</v>
      </c>
      <c r="B71" s="7">
        <v>6</v>
      </c>
      <c r="C71" s="17"/>
      <c r="D71" s="85"/>
    </row>
    <row r="72" spans="1:4" ht="27.75" thickBot="1" x14ac:dyDescent="0.3">
      <c r="A72" s="8" t="s">
        <v>27</v>
      </c>
      <c r="B72" s="18" t="s">
        <v>28</v>
      </c>
      <c r="C72" s="8" t="s">
        <v>29</v>
      </c>
      <c r="D72" s="8" t="s">
        <v>30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31</v>
      </c>
      <c r="B83" s="12">
        <f>SUM(B73:B82)</f>
        <v>0</v>
      </c>
      <c r="C83" s="86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26</v>
      </c>
      <c r="B85" s="7">
        <v>7</v>
      </c>
      <c r="C85" s="17"/>
      <c r="D85" s="85"/>
    </row>
    <row r="86" spans="1:4" ht="27.75" thickBot="1" x14ac:dyDescent="0.3">
      <c r="A86" s="8" t="s">
        <v>27</v>
      </c>
      <c r="B86" s="18" t="s">
        <v>28</v>
      </c>
      <c r="C86" s="8" t="s">
        <v>29</v>
      </c>
      <c r="D86" s="8" t="s">
        <v>30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31</v>
      </c>
      <c r="B97" s="12">
        <f>SUM(B87:B96)</f>
        <v>0</v>
      </c>
      <c r="C97" s="86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26</v>
      </c>
      <c r="B99" s="7">
        <v>8</v>
      </c>
      <c r="C99" s="17"/>
      <c r="D99" s="85"/>
    </row>
    <row r="100" spans="1:4" ht="27.75" thickBot="1" x14ac:dyDescent="0.3">
      <c r="A100" s="8" t="s">
        <v>27</v>
      </c>
      <c r="B100" s="18" t="s">
        <v>28</v>
      </c>
      <c r="C100" s="8" t="s">
        <v>29</v>
      </c>
      <c r="D100" s="8" t="s">
        <v>30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31</v>
      </c>
      <c r="B111" s="12">
        <f>SUM(B101:B110)</f>
        <v>0</v>
      </c>
      <c r="C111" s="86" t="s">
        <v>38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26</v>
      </c>
      <c r="B113" s="7">
        <v>9</v>
      </c>
      <c r="C113" s="17"/>
      <c r="D113" s="85"/>
    </row>
    <row r="114" spans="1:4" ht="27.75" thickBot="1" x14ac:dyDescent="0.3">
      <c r="A114" s="8" t="s">
        <v>27</v>
      </c>
      <c r="B114" s="18" t="s">
        <v>28</v>
      </c>
      <c r="C114" s="8" t="s">
        <v>29</v>
      </c>
      <c r="D114" s="8" t="s">
        <v>30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31</v>
      </c>
      <c r="B125" s="12">
        <f>SUM(B115:B124)</f>
        <v>0</v>
      </c>
      <c r="C125" s="86" t="s">
        <v>38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26</v>
      </c>
      <c r="B127" s="7">
        <v>10</v>
      </c>
      <c r="C127" s="17"/>
      <c r="D127" s="85"/>
    </row>
    <row r="128" spans="1:4" ht="27.75" thickBot="1" x14ac:dyDescent="0.3">
      <c r="A128" s="8" t="s">
        <v>27</v>
      </c>
      <c r="B128" s="18" t="s">
        <v>28</v>
      </c>
      <c r="C128" s="8" t="s">
        <v>29</v>
      </c>
      <c r="D128" s="8" t="s">
        <v>30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31</v>
      </c>
      <c r="B139" s="12">
        <f>SUM(B129:B138)</f>
        <v>0</v>
      </c>
      <c r="C139" s="86" t="s">
        <v>38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26</v>
      </c>
      <c r="B141" s="7">
        <v>11</v>
      </c>
      <c r="C141" s="17"/>
      <c r="D141" s="85"/>
    </row>
    <row r="142" spans="1:4" ht="27.75" thickBot="1" x14ac:dyDescent="0.3">
      <c r="A142" s="8" t="s">
        <v>27</v>
      </c>
      <c r="B142" s="18" t="s">
        <v>28</v>
      </c>
      <c r="C142" s="8" t="s">
        <v>29</v>
      </c>
      <c r="D142" s="8" t="s">
        <v>30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31</v>
      </c>
      <c r="B153" s="12">
        <f>SUM(B143:B152)</f>
        <v>0</v>
      </c>
      <c r="C153" s="86" t="s">
        <v>38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26</v>
      </c>
      <c r="B155" s="7">
        <v>12</v>
      </c>
      <c r="C155" s="17"/>
      <c r="D155" s="85"/>
    </row>
    <row r="156" spans="1:4" ht="27.75" thickBot="1" x14ac:dyDescent="0.3">
      <c r="A156" s="8" t="s">
        <v>27</v>
      </c>
      <c r="B156" s="18" t="s">
        <v>28</v>
      </c>
      <c r="C156" s="8" t="s">
        <v>29</v>
      </c>
      <c r="D156" s="8" t="s">
        <v>30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31</v>
      </c>
      <c r="B167" s="12">
        <f>SUM(B157:B166)</f>
        <v>0</v>
      </c>
      <c r="C167" s="86" t="s">
        <v>38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26</v>
      </c>
      <c r="B169" s="7">
        <v>13</v>
      </c>
      <c r="C169" s="17"/>
      <c r="D169" s="85"/>
    </row>
    <row r="170" spans="1:4" ht="27.75" thickBot="1" x14ac:dyDescent="0.3">
      <c r="A170" s="8" t="s">
        <v>27</v>
      </c>
      <c r="B170" s="18" t="s">
        <v>28</v>
      </c>
      <c r="C170" s="8" t="s">
        <v>29</v>
      </c>
      <c r="D170" s="8" t="s">
        <v>30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31</v>
      </c>
      <c r="B181" s="12">
        <f>SUM(B171:B180)</f>
        <v>0</v>
      </c>
      <c r="C181" s="86" t="s">
        <v>38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26</v>
      </c>
      <c r="B183" s="7">
        <v>14</v>
      </c>
      <c r="C183" s="17"/>
      <c r="D183" s="85"/>
    </row>
    <row r="184" spans="1:4" ht="27.75" thickBot="1" x14ac:dyDescent="0.3">
      <c r="A184" s="8" t="s">
        <v>27</v>
      </c>
      <c r="B184" s="18" t="s">
        <v>28</v>
      </c>
      <c r="C184" s="8" t="s">
        <v>29</v>
      </c>
      <c r="D184" s="8" t="s">
        <v>30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31</v>
      </c>
      <c r="B195" s="12">
        <f>SUM(B185:B194)</f>
        <v>0</v>
      </c>
      <c r="C195" s="86" t="s">
        <v>38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26</v>
      </c>
      <c r="B197" s="7">
        <v>15</v>
      </c>
      <c r="C197" s="17"/>
      <c r="D197" s="85"/>
    </row>
    <row r="198" spans="1:4" ht="27.75" thickBot="1" x14ac:dyDescent="0.3">
      <c r="A198" s="8" t="s">
        <v>27</v>
      </c>
      <c r="B198" s="18" t="s">
        <v>28</v>
      </c>
      <c r="C198" s="8" t="s">
        <v>29</v>
      </c>
      <c r="D198" s="8" t="s">
        <v>30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31</v>
      </c>
      <c r="B209" s="12">
        <f>SUM(B199:B208)</f>
        <v>0</v>
      </c>
      <c r="C209" s="86" t="s">
        <v>38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26</v>
      </c>
      <c r="B211" s="7">
        <v>16</v>
      </c>
      <c r="C211" s="17"/>
      <c r="D211" s="85"/>
    </row>
    <row r="212" spans="1:4" ht="27.75" thickBot="1" x14ac:dyDescent="0.3">
      <c r="A212" s="8" t="s">
        <v>27</v>
      </c>
      <c r="B212" s="18" t="s">
        <v>28</v>
      </c>
      <c r="C212" s="8" t="s">
        <v>29</v>
      </c>
      <c r="D212" s="8" t="s">
        <v>30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31</v>
      </c>
      <c r="B223" s="12">
        <f>SUM(B213:B222)</f>
        <v>0</v>
      </c>
      <c r="C223" s="86" t="s">
        <v>38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26</v>
      </c>
      <c r="B225" s="7">
        <v>17</v>
      </c>
      <c r="C225" s="17"/>
      <c r="D225" s="85"/>
    </row>
    <row r="226" spans="1:4" ht="27.75" thickBot="1" x14ac:dyDescent="0.3">
      <c r="A226" s="8" t="s">
        <v>27</v>
      </c>
      <c r="B226" s="18" t="s">
        <v>28</v>
      </c>
      <c r="C226" s="8" t="s">
        <v>29</v>
      </c>
      <c r="D226" s="8" t="s">
        <v>30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31</v>
      </c>
      <c r="B237" s="12">
        <f>SUM(B227:B236)</f>
        <v>0</v>
      </c>
      <c r="C237" s="86" t="s">
        <v>38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26</v>
      </c>
      <c r="B239" s="7">
        <v>18</v>
      </c>
      <c r="C239" s="17"/>
      <c r="D239" s="85"/>
    </row>
    <row r="240" spans="1:4" ht="27.75" thickBot="1" x14ac:dyDescent="0.3">
      <c r="A240" s="8" t="s">
        <v>27</v>
      </c>
      <c r="B240" s="18" t="s">
        <v>28</v>
      </c>
      <c r="C240" s="8" t="s">
        <v>29</v>
      </c>
      <c r="D240" s="8" t="s">
        <v>30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31</v>
      </c>
      <c r="B251" s="12">
        <f>SUM(B241:B250)</f>
        <v>0</v>
      </c>
      <c r="C251" s="86" t="s">
        <v>38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26</v>
      </c>
      <c r="B253" s="7">
        <v>19</v>
      </c>
      <c r="C253" s="17"/>
      <c r="D253" s="85"/>
    </row>
    <row r="254" spans="1:4" ht="27.75" thickBot="1" x14ac:dyDescent="0.3">
      <c r="A254" s="8" t="s">
        <v>27</v>
      </c>
      <c r="B254" s="18" t="s">
        <v>28</v>
      </c>
      <c r="C254" s="8" t="s">
        <v>29</v>
      </c>
      <c r="D254" s="8" t="s">
        <v>30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31</v>
      </c>
      <c r="B265" s="12">
        <f>SUM(B255:B264)</f>
        <v>0</v>
      </c>
      <c r="C265" s="86" t="s">
        <v>38</v>
      </c>
      <c r="D265" s="13"/>
    </row>
    <row r="266" spans="1:4" ht="15" thickBot="1" x14ac:dyDescent="0.35">
      <c r="A266" s="14"/>
      <c r="B266" s="14"/>
      <c r="C266" s="14"/>
      <c r="D266" s="14"/>
    </row>
    <row r="267" spans="1:4" ht="18.75" thickBot="1" x14ac:dyDescent="0.3">
      <c r="A267" s="6" t="s">
        <v>26</v>
      </c>
      <c r="B267" s="7">
        <v>20</v>
      </c>
      <c r="C267" s="17"/>
      <c r="D267" s="85"/>
    </row>
    <row r="268" spans="1:4" ht="27.75" thickBot="1" x14ac:dyDescent="0.3">
      <c r="A268" s="8" t="s">
        <v>27</v>
      </c>
      <c r="B268" s="18" t="s">
        <v>28</v>
      </c>
      <c r="C268" s="8" t="s">
        <v>29</v>
      </c>
      <c r="D268" s="8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ht="14.25" thickBot="1" x14ac:dyDescent="0.3">
      <c r="A278" s="3"/>
      <c r="B278" s="3"/>
      <c r="C278" s="11"/>
      <c r="D278" s="11"/>
    </row>
    <row r="279" spans="1:4" ht="14.25" thickBot="1" x14ac:dyDescent="0.3">
      <c r="A279" s="12" t="s">
        <v>31</v>
      </c>
      <c r="B279" s="12">
        <f>SUM(B269:B278)</f>
        <v>0</v>
      </c>
      <c r="C279" s="86" t="s">
        <v>38</v>
      </c>
      <c r="D279" s="13"/>
    </row>
    <row r="280" spans="1:4" ht="14.25" x14ac:dyDescent="0.3">
      <c r="A280" s="14"/>
      <c r="B280" s="14"/>
      <c r="C280" s="14"/>
      <c r="D280" s="14"/>
    </row>
    <row r="281" spans="1:4" x14ac:dyDescent="0.25">
      <c r="A281" s="87" t="s">
        <v>33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 A269:A27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 B27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 B269:B27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168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381"/>
  <sheetViews>
    <sheetView tabSelected="1" topLeftCell="A19" workbookViewId="0">
      <selection activeCell="C41" sqref="C4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>
        <f>Donnees!$C$9</f>
        <v>45243</v>
      </c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 t="s">
        <v>45</v>
      </c>
      <c r="B3" s="4">
        <v>3</v>
      </c>
      <c r="C3" s="119" t="s">
        <v>59</v>
      </c>
      <c r="D3" s="9"/>
    </row>
    <row r="4" spans="1:4" s="52" customFormat="1" ht="27" x14ac:dyDescent="0.25">
      <c r="A4" s="1" t="s">
        <v>42</v>
      </c>
      <c r="B4" s="2">
        <v>6</v>
      </c>
      <c r="C4" s="120" t="s">
        <v>60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9</v>
      </c>
      <c r="C18" s="88" t="s">
        <v>38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26</v>
      </c>
      <c r="B20" s="43">
        <v>2</v>
      </c>
      <c r="C20" s="44" t="s">
        <v>32</v>
      </c>
      <c r="D20" s="53">
        <f>$D$1+7</f>
        <v>45250</v>
      </c>
    </row>
    <row r="21" spans="1:8" ht="27.75" thickBot="1" x14ac:dyDescent="0.3">
      <c r="A21" s="45" t="s">
        <v>27</v>
      </c>
      <c r="B21" s="46" t="s">
        <v>28</v>
      </c>
      <c r="C21" s="45" t="s">
        <v>29</v>
      </c>
      <c r="D21" s="45" t="s">
        <v>30</v>
      </c>
    </row>
    <row r="22" spans="1:8" ht="27" x14ac:dyDescent="0.25">
      <c r="A22" s="5" t="s">
        <v>42</v>
      </c>
      <c r="B22" s="4">
        <v>9</v>
      </c>
      <c r="C22" s="119" t="s">
        <v>61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31</v>
      </c>
      <c r="B37" s="47">
        <f>SUM(B22:B36)</f>
        <v>9</v>
      </c>
      <c r="C37" s="88" t="s">
        <v>38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26</v>
      </c>
      <c r="B39" s="43">
        <v>3</v>
      </c>
      <c r="C39" s="44" t="s">
        <v>32</v>
      </c>
      <c r="D39" s="53">
        <f>$D$20+7</f>
        <v>45257</v>
      </c>
    </row>
    <row r="40" spans="1:8" ht="27.75" thickBot="1" x14ac:dyDescent="0.3">
      <c r="A40" s="45" t="s">
        <v>27</v>
      </c>
      <c r="B40" s="46" t="s">
        <v>28</v>
      </c>
      <c r="C40" s="45" t="s">
        <v>29</v>
      </c>
      <c r="D40" s="45" t="s">
        <v>30</v>
      </c>
    </row>
    <row r="41" spans="1:8" ht="27" x14ac:dyDescent="0.25">
      <c r="A41" s="5" t="s">
        <v>42</v>
      </c>
      <c r="B41" s="4">
        <v>9</v>
      </c>
      <c r="C41" s="119" t="s">
        <v>62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31</v>
      </c>
      <c r="B56" s="47">
        <f>SUM(B41:B55)</f>
        <v>9</v>
      </c>
      <c r="C56" s="88" t="s">
        <v>38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26</v>
      </c>
      <c r="B58" s="43">
        <v>4</v>
      </c>
      <c r="C58" s="44" t="s">
        <v>32</v>
      </c>
      <c r="D58" s="53">
        <f>$D$39+7</f>
        <v>45264</v>
      </c>
    </row>
    <row r="59" spans="1:4" ht="27.75" thickBot="1" x14ac:dyDescent="0.3">
      <c r="A59" s="45" t="s">
        <v>27</v>
      </c>
      <c r="B59" s="46" t="s">
        <v>28</v>
      </c>
      <c r="C59" s="45" t="s">
        <v>29</v>
      </c>
      <c r="D59" s="45" t="s">
        <v>30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31</v>
      </c>
      <c r="B75" s="47">
        <f>SUM(B60:B74)</f>
        <v>0</v>
      </c>
      <c r="C75" s="88" t="s">
        <v>38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26</v>
      </c>
      <c r="B77" s="43">
        <v>5</v>
      </c>
      <c r="C77" s="44" t="s">
        <v>32</v>
      </c>
      <c r="D77" s="53">
        <f>$D$58+7</f>
        <v>45271</v>
      </c>
    </row>
    <row r="78" spans="1:4" ht="27.75" thickBot="1" x14ac:dyDescent="0.3">
      <c r="A78" s="45" t="s">
        <v>27</v>
      </c>
      <c r="B78" s="46" t="s">
        <v>28</v>
      </c>
      <c r="C78" s="45" t="s">
        <v>29</v>
      </c>
      <c r="D78" s="45" t="s">
        <v>30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31</v>
      </c>
      <c r="B94" s="47">
        <f>SUM(B79:B93)</f>
        <v>0</v>
      </c>
      <c r="C94" s="88" t="s">
        <v>38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26</v>
      </c>
      <c r="B96" s="43">
        <v>6</v>
      </c>
      <c r="C96" s="44" t="s">
        <v>32</v>
      </c>
      <c r="D96" s="53">
        <f>$D$77+7</f>
        <v>45278</v>
      </c>
    </row>
    <row r="97" spans="1:4" ht="27.75" thickBot="1" x14ac:dyDescent="0.3">
      <c r="A97" s="45" t="s">
        <v>27</v>
      </c>
      <c r="B97" s="46" t="s">
        <v>28</v>
      </c>
      <c r="C97" s="45" t="s">
        <v>29</v>
      </c>
      <c r="D97" s="45" t="s">
        <v>30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31</v>
      </c>
      <c r="B113" s="47">
        <f>SUM(B98:B112)</f>
        <v>0</v>
      </c>
      <c r="C113" s="88" t="s">
        <v>38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26</v>
      </c>
      <c r="B115" s="43">
        <v>7</v>
      </c>
      <c r="C115" s="44" t="s">
        <v>32</v>
      </c>
      <c r="D115" s="53">
        <f>$D$96+7</f>
        <v>45285</v>
      </c>
    </row>
    <row r="116" spans="1:4" ht="27.75" thickBot="1" x14ac:dyDescent="0.3">
      <c r="A116" s="45" t="s">
        <v>27</v>
      </c>
      <c r="B116" s="46" t="s">
        <v>28</v>
      </c>
      <c r="C116" s="45" t="s">
        <v>29</v>
      </c>
      <c r="D116" s="45" t="s">
        <v>30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31</v>
      </c>
      <c r="B132" s="47">
        <f>SUM(B117:B131)</f>
        <v>0</v>
      </c>
      <c r="C132" s="88" t="s">
        <v>38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26</v>
      </c>
      <c r="B134" s="43">
        <v>8</v>
      </c>
      <c r="C134" s="44" t="s">
        <v>32</v>
      </c>
      <c r="D134" s="53">
        <f>$D$115+7</f>
        <v>45292</v>
      </c>
    </row>
    <row r="135" spans="1:4" ht="27.75" thickBot="1" x14ac:dyDescent="0.3">
      <c r="A135" s="45" t="s">
        <v>27</v>
      </c>
      <c r="B135" s="46" t="s">
        <v>28</v>
      </c>
      <c r="C135" s="45" t="s">
        <v>29</v>
      </c>
      <c r="D135" s="45" t="s">
        <v>30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31</v>
      </c>
      <c r="B151" s="47">
        <f>SUM(B136:B150)</f>
        <v>0</v>
      </c>
      <c r="C151" s="88" t="s">
        <v>38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26</v>
      </c>
      <c r="B153" s="43">
        <v>9</v>
      </c>
      <c r="C153" s="44" t="s">
        <v>32</v>
      </c>
      <c r="D153" s="53">
        <f>$D$134+7</f>
        <v>45299</v>
      </c>
    </row>
    <row r="154" spans="1:4" ht="27.75" thickBot="1" x14ac:dyDescent="0.3">
      <c r="A154" s="45" t="s">
        <v>27</v>
      </c>
      <c r="B154" s="46" t="s">
        <v>28</v>
      </c>
      <c r="C154" s="45" t="s">
        <v>29</v>
      </c>
      <c r="D154" s="45" t="s">
        <v>30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31</v>
      </c>
      <c r="B170" s="47">
        <f>SUM(B155:B169)</f>
        <v>0</v>
      </c>
      <c r="C170" s="88" t="s">
        <v>38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26</v>
      </c>
      <c r="B172" s="43">
        <v>10</v>
      </c>
      <c r="C172" s="44" t="s">
        <v>32</v>
      </c>
      <c r="D172" s="53">
        <f>$D$153+7</f>
        <v>45306</v>
      </c>
    </row>
    <row r="173" spans="1:4" ht="27.75" thickBot="1" x14ac:dyDescent="0.3">
      <c r="A173" s="45" t="s">
        <v>27</v>
      </c>
      <c r="B173" s="46" t="s">
        <v>28</v>
      </c>
      <c r="C173" s="45" t="s">
        <v>29</v>
      </c>
      <c r="D173" s="45" t="s">
        <v>30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31</v>
      </c>
      <c r="B189" s="47">
        <f>SUM(B174:B188)</f>
        <v>0</v>
      </c>
      <c r="C189" s="88" t="s">
        <v>38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26</v>
      </c>
      <c r="B191" s="43">
        <v>11</v>
      </c>
      <c r="C191" s="44" t="s">
        <v>32</v>
      </c>
      <c r="D191" s="53">
        <f>$D$172+7</f>
        <v>45313</v>
      </c>
    </row>
    <row r="192" spans="1:4" ht="27.75" thickBot="1" x14ac:dyDescent="0.3">
      <c r="A192" s="45" t="s">
        <v>27</v>
      </c>
      <c r="B192" s="46" t="s">
        <v>28</v>
      </c>
      <c r="C192" s="45" t="s">
        <v>29</v>
      </c>
      <c r="D192" s="45" t="s">
        <v>30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31</v>
      </c>
      <c r="B208" s="47">
        <f>SUM(B193:B207)</f>
        <v>0</v>
      </c>
      <c r="C208" s="88" t="s">
        <v>38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26</v>
      </c>
      <c r="B210" s="43">
        <v>12</v>
      </c>
      <c r="C210" s="44" t="s">
        <v>32</v>
      </c>
      <c r="D210" s="53">
        <f>$D$191+7</f>
        <v>45320</v>
      </c>
    </row>
    <row r="211" spans="1:4" ht="27.75" thickBot="1" x14ac:dyDescent="0.3">
      <c r="A211" s="45" t="s">
        <v>27</v>
      </c>
      <c r="B211" s="46" t="s">
        <v>28</v>
      </c>
      <c r="C211" s="45" t="s">
        <v>29</v>
      </c>
      <c r="D211" s="45" t="s">
        <v>30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31</v>
      </c>
      <c r="B227" s="47">
        <f>SUM(B212:B226)</f>
        <v>0</v>
      </c>
      <c r="C227" s="88" t="s">
        <v>38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26</v>
      </c>
      <c r="B229" s="43">
        <v>13</v>
      </c>
      <c r="C229" s="44" t="s">
        <v>32</v>
      </c>
      <c r="D229" s="53">
        <f>$D$210+7</f>
        <v>45327</v>
      </c>
    </row>
    <row r="230" spans="1:4" ht="27.75" thickBot="1" x14ac:dyDescent="0.3">
      <c r="A230" s="45" t="s">
        <v>27</v>
      </c>
      <c r="B230" s="46" t="s">
        <v>28</v>
      </c>
      <c r="C230" s="45" t="s">
        <v>29</v>
      </c>
      <c r="D230" s="45" t="s">
        <v>30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31</v>
      </c>
      <c r="B246" s="47">
        <f>SUM(B231:B245)</f>
        <v>0</v>
      </c>
      <c r="C246" s="88" t="s">
        <v>38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26</v>
      </c>
      <c r="B248" s="43">
        <v>14</v>
      </c>
      <c r="C248" s="44" t="s">
        <v>32</v>
      </c>
      <c r="D248" s="53">
        <f>$D$229+7</f>
        <v>45334</v>
      </c>
    </row>
    <row r="249" spans="1:4" ht="27.75" thickBot="1" x14ac:dyDescent="0.3">
      <c r="A249" s="45" t="s">
        <v>27</v>
      </c>
      <c r="B249" s="46" t="s">
        <v>28</v>
      </c>
      <c r="C249" s="45" t="s">
        <v>29</v>
      </c>
      <c r="D249" s="45" t="s">
        <v>30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31</v>
      </c>
      <c r="B265" s="47">
        <f>SUM(B250:B264)</f>
        <v>0</v>
      </c>
      <c r="C265" s="88" t="s">
        <v>38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26</v>
      </c>
      <c r="B267" s="43">
        <v>15</v>
      </c>
      <c r="C267" s="44" t="s">
        <v>32</v>
      </c>
      <c r="D267" s="53">
        <f>$D$248+7</f>
        <v>45341</v>
      </c>
    </row>
    <row r="268" spans="1:4" ht="27.75" thickBot="1" x14ac:dyDescent="0.3">
      <c r="A268" s="45" t="s">
        <v>27</v>
      </c>
      <c r="B268" s="46" t="s">
        <v>28</v>
      </c>
      <c r="C268" s="45" t="s">
        <v>29</v>
      </c>
      <c r="D268" s="45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31</v>
      </c>
      <c r="B284" s="47">
        <f>SUM(B269:B283)</f>
        <v>0</v>
      </c>
      <c r="C284" s="88" t="s">
        <v>38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26</v>
      </c>
      <c r="B286" s="43">
        <v>16</v>
      </c>
      <c r="C286" s="44" t="s">
        <v>32</v>
      </c>
      <c r="D286" s="53">
        <f>$D$267+7</f>
        <v>45348</v>
      </c>
    </row>
    <row r="287" spans="1:4" ht="27.75" thickBot="1" x14ac:dyDescent="0.3">
      <c r="A287" s="45" t="s">
        <v>27</v>
      </c>
      <c r="B287" s="46" t="s">
        <v>28</v>
      </c>
      <c r="C287" s="45" t="s">
        <v>29</v>
      </c>
      <c r="D287" s="45" t="s">
        <v>30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31</v>
      </c>
      <c r="B303" s="47">
        <f>SUM(B288:B302)</f>
        <v>0</v>
      </c>
      <c r="C303" s="88" t="s">
        <v>38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26</v>
      </c>
      <c r="B305" s="43">
        <v>17</v>
      </c>
      <c r="C305" s="44" t="s">
        <v>32</v>
      </c>
      <c r="D305" s="53">
        <f>$D$286+7</f>
        <v>45355</v>
      </c>
    </row>
    <row r="306" spans="1:4" ht="27.75" thickBot="1" x14ac:dyDescent="0.3">
      <c r="A306" s="45" t="s">
        <v>27</v>
      </c>
      <c r="B306" s="46" t="s">
        <v>28</v>
      </c>
      <c r="C306" s="45" t="s">
        <v>29</v>
      </c>
      <c r="D306" s="45" t="s">
        <v>30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31</v>
      </c>
      <c r="B322" s="47">
        <f>SUM(B307:B321)</f>
        <v>0</v>
      </c>
      <c r="C322" s="88" t="s">
        <v>38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26</v>
      </c>
      <c r="B324" s="43">
        <v>18</v>
      </c>
      <c r="C324" s="44" t="s">
        <v>32</v>
      </c>
      <c r="D324" s="53">
        <f>$D$305+7</f>
        <v>45362</v>
      </c>
    </row>
    <row r="325" spans="1:4" ht="27.75" thickBot="1" x14ac:dyDescent="0.3">
      <c r="A325" s="45" t="s">
        <v>27</v>
      </c>
      <c r="B325" s="46" t="s">
        <v>28</v>
      </c>
      <c r="C325" s="45" t="s">
        <v>29</v>
      </c>
      <c r="D325" s="45" t="s">
        <v>30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31</v>
      </c>
      <c r="B341" s="47">
        <f>SUM(B326:B340)</f>
        <v>0</v>
      </c>
      <c r="C341" s="88" t="s">
        <v>38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26</v>
      </c>
      <c r="B343" s="43">
        <v>19</v>
      </c>
      <c r="C343" s="44" t="s">
        <v>32</v>
      </c>
      <c r="D343" s="53">
        <f>$D$324+7</f>
        <v>45369</v>
      </c>
    </row>
    <row r="344" spans="1:4" ht="27.75" thickBot="1" x14ac:dyDescent="0.3">
      <c r="A344" s="45" t="s">
        <v>27</v>
      </c>
      <c r="B344" s="46" t="s">
        <v>28</v>
      </c>
      <c r="C344" s="45" t="s">
        <v>29</v>
      </c>
      <c r="D344" s="45" t="s">
        <v>30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31</v>
      </c>
      <c r="B360" s="47">
        <f>SUM(B345:B359)</f>
        <v>0</v>
      </c>
      <c r="C360" s="88" t="s">
        <v>38</v>
      </c>
      <c r="D360" s="48"/>
    </row>
    <row r="361" spans="1:4" ht="15" thickBot="1" x14ac:dyDescent="0.35">
      <c r="A361" s="49"/>
      <c r="B361" s="49"/>
      <c r="C361" s="49"/>
      <c r="D361" s="49"/>
    </row>
    <row r="362" spans="1:4" ht="18.75" thickBot="1" x14ac:dyDescent="0.3">
      <c r="A362" s="42" t="s">
        <v>26</v>
      </c>
      <c r="B362" s="43">
        <v>20</v>
      </c>
      <c r="C362" s="44" t="s">
        <v>32</v>
      </c>
      <c r="D362" s="53">
        <f>$D$343+7</f>
        <v>45376</v>
      </c>
    </row>
    <row r="363" spans="1:4" ht="27.75" thickBot="1" x14ac:dyDescent="0.3">
      <c r="A363" s="45" t="s">
        <v>27</v>
      </c>
      <c r="B363" s="46" t="s">
        <v>28</v>
      </c>
      <c r="C363" s="45" t="s">
        <v>29</v>
      </c>
      <c r="D363" s="45" t="s">
        <v>30</v>
      </c>
    </row>
    <row r="364" spans="1:4" x14ac:dyDescent="0.25">
      <c r="A364" s="5"/>
      <c r="B364" s="4"/>
      <c r="C364" s="9"/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0"/>
      <c r="B376" s="50"/>
      <c r="C376" s="51"/>
      <c r="D376" s="51"/>
    </row>
    <row r="377" spans="1:4" x14ac:dyDescent="0.25">
      <c r="A377" s="50"/>
      <c r="B377" s="50"/>
      <c r="C377" s="51"/>
      <c r="D377" s="51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7" t="s">
        <v>31</v>
      </c>
      <c r="B379" s="47">
        <f>SUM(B364:B378)</f>
        <v>0</v>
      </c>
      <c r="C379" s="88" t="s">
        <v>38</v>
      </c>
      <c r="D379" s="48"/>
    </row>
    <row r="380" spans="1:4" ht="14.25" x14ac:dyDescent="0.3">
      <c r="A380" s="49"/>
      <c r="B380" s="49"/>
      <c r="C380" s="49"/>
      <c r="D380" s="49"/>
    </row>
    <row r="381" spans="1:4" x14ac:dyDescent="0.25">
      <c r="A381" s="87" t="s">
        <v>33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47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475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2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SofieneHabib Belkhiria</cp:lastModifiedBy>
  <cp:revision/>
  <dcterms:created xsi:type="dcterms:W3CDTF">1996-10-21T11:03:58Z</dcterms:created>
  <dcterms:modified xsi:type="dcterms:W3CDTF">2023-11-27T14:38:19Z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